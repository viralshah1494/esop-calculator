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<sst xmlns="http://schemas.openxmlformats.org/spreadsheetml/2006/main" count="142" uniqueCount="40">
  <si>
    <t>Strike Price</t>
  </si>
  <si>
    <t>@dropdown</t>
  </si>
  <si>
    <t>FMV Price</t>
  </si>
  <si>
    <t>FMV at Exercise</t>
  </si>
  <si>
    <t>Sell Price</t>
  </si>
  <si>
    <t>Short Term Tax Rate 1 More</t>
  </si>
  <si>
    <t>Short Term Tax Rate 2 Actual</t>
  </si>
  <si>
    <t>Long Term Tax Rate</t>
  </si>
  <si>
    <t>Tax Event 1 (FMV - Strike) with more Tax</t>
  </si>
  <si>
    <t>Tax Event 1 (FMV - Strike) with less Tax</t>
  </si>
  <si>
    <t>Overall All Tax ( Sell - Exercise ) @ 42.74</t>
  </si>
  <si>
    <t>Tax Event 2 - Short Term Actual (Sell - FMV)</t>
  </si>
  <si>
    <t>Tax Event 2 - Long Term (Sell - FMV @ Ex)</t>
  </si>
  <si>
    <t>Dollar Rate</t>
  </si>
  <si>
    <t>Selling of Vested Options</t>
  </si>
  <si>
    <t>Difference</t>
  </si>
  <si>
    <t>Selling of Exercised Shares</t>
  </si>
  <si>
    <t>No of Options</t>
  </si>
  <si>
    <t>Exercise Amount</t>
  </si>
  <si>
    <t>Sell Proceeds</t>
  </si>
  <si>
    <t>Tax Event 1</t>
  </si>
  <si>
    <t>Company to Deduct - Strike + Tax</t>
  </si>
  <si>
    <t>Transfer to Account</t>
  </si>
  <si>
    <t>Transfer to account (in Rs)</t>
  </si>
  <si>
    <t>Tax Event 2 - Short Term Actual</t>
  </si>
  <si>
    <t>Over All Direct Tax</t>
  </si>
  <si>
    <t>Final Remains</t>
  </si>
  <si>
    <t>Tax Refund</t>
  </si>
  <si>
    <t>Final with Tax Refund</t>
  </si>
  <si>
    <t>Final Remains(in Rs)</t>
  </si>
  <si>
    <t>No of Shares</t>
  </si>
  <si>
    <t>Tax Event 2 - Long Term</t>
  </si>
  <si>
    <t>Exercise of Options</t>
  </si>
  <si>
    <t>Total to Pay</t>
  </si>
  <si>
    <t>Total to Pay (in Rs)</t>
  </si>
  <si>
    <t>If Options</t>
  </si>
  <si>
    <t>If Shares</t>
  </si>
  <si>
    <t>Tax Event 1 (FMV - Strike)</t>
  </si>
  <si>
    <t>Tax Event 2 - Long Term (Sell - FMV)</t>
  </si>
  <si>
    <t>FMV Price of Exercised 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</si>
</sst>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&quot;$&quot;"/>
    <numFmt numFmtId="165" formatCode="#,##0.00&quot;$&quot;"/>
    <numFmt numFmtId="166" formatCode="0.0%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5" xfId="0" applyFont="1" applyNumberForma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2" fontId="1" numFmtId="0" xfId="0" applyFont="1"/>
    <xf borderId="0" fillId="3" fontId="1" numFmtId="165" xfId="0" applyFont="1" applyNumberFormat="1"/>
    <xf borderId="0" fillId="2" fontId="1" numFmtId="165" xfId="0" applyFont="1" applyNumberFormat="1"/>
    <xf borderId="0" fillId="0" fontId="3" numFmtId="0" xfId="0" applyAlignment="1" applyFont="1">
      <alignment vertical="bottom"/>
    </xf>
    <xf borderId="0" fillId="0" fontId="1" numFmtId="0" xfId="0" applyFont="1"/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13.63"/>
    <col customWidth="1" min="12" max="12" width="16.88"/>
  </cols>
  <sheetData>
    <row r="1">
      <c r="A1" s="1" t="s">
        <v>0</v>
      </c>
      <c r="B1" s="2">
        <v>0.133</v>
      </c>
      <c r="C1" s="2">
        <v>0.133</v>
      </c>
      <c r="V1" s="1" t="s">
        <v>1</v>
      </c>
    </row>
    <row r="2">
      <c r="A2" s="1" t="s">
        <v>2</v>
      </c>
      <c r="B2" s="3">
        <v>5.0</v>
      </c>
    </row>
    <row r="3">
      <c r="A3" s="1" t="s">
        <v>3</v>
      </c>
      <c r="B3" s="3">
        <v>5.0</v>
      </c>
    </row>
    <row r="4">
      <c r="A4" s="1" t="s">
        <v>4</v>
      </c>
      <c r="B4" s="3">
        <v>12.0</v>
      </c>
    </row>
    <row r="5">
      <c r="A5" s="1" t="s">
        <v>5</v>
      </c>
      <c r="B5" s="4">
        <v>0.4274</v>
      </c>
    </row>
    <row r="6">
      <c r="A6" s="1" t="s">
        <v>6</v>
      </c>
      <c r="B6" s="4">
        <v>0.342</v>
      </c>
    </row>
    <row r="7">
      <c r="A7" s="1" t="s">
        <v>7</v>
      </c>
      <c r="B7" s="5">
        <v>0.125</v>
      </c>
    </row>
    <row r="8">
      <c r="A8" s="1" t="s">
        <v>8</v>
      </c>
      <c r="B8" s="6">
        <f>(B2-B1) * B5</f>
        <v>2.0801558</v>
      </c>
    </row>
    <row r="9">
      <c r="A9" s="1" t="s">
        <v>9</v>
      </c>
      <c r="B9" s="6">
        <f>(B2-B1) * B6</f>
        <v>1.664514</v>
      </c>
    </row>
    <row r="10">
      <c r="A10" s="1" t="s">
        <v>10</v>
      </c>
      <c r="B10" s="7">
        <f>(B4-B1) * B5</f>
        <v>5.0719558</v>
      </c>
    </row>
    <row r="11">
      <c r="A11" s="1" t="s">
        <v>11</v>
      </c>
      <c r="B11" s="6">
        <f>(B4-B2)*B5</f>
        <v>2.9918</v>
      </c>
    </row>
    <row r="12">
      <c r="A12" s="1" t="s">
        <v>12</v>
      </c>
      <c r="B12" s="6">
        <f>(B4-B3) * B7</f>
        <v>0.875</v>
      </c>
    </row>
    <row r="13">
      <c r="A13" s="1" t="s">
        <v>13</v>
      </c>
      <c r="B13" s="1">
        <v>85.0</v>
      </c>
    </row>
    <row r="16">
      <c r="A16" s="8" t="s">
        <v>14</v>
      </c>
      <c r="N16" s="9" t="s">
        <v>15</v>
      </c>
      <c r="O16" s="8" t="s">
        <v>16</v>
      </c>
    </row>
    <row r="17">
      <c r="A17" s="1" t="s">
        <v>17</v>
      </c>
      <c r="B17" s="1" t="s">
        <v>18</v>
      </c>
      <c r="C17" s="1" t="s">
        <v>19</v>
      </c>
      <c r="D17" s="1" t="s">
        <v>20</v>
      </c>
      <c r="E17" s="10" t="s">
        <v>21</v>
      </c>
      <c r="F17" s="10" t="s">
        <v>22</v>
      </c>
      <c r="G17" s="10" t="s">
        <v>23</v>
      </c>
      <c r="H17" s="10" t="s">
        <v>24</v>
      </c>
      <c r="I17" s="10" t="s">
        <v>25</v>
      </c>
      <c r="J17" s="1" t="s">
        <v>26</v>
      </c>
      <c r="K17" s="11" t="s">
        <v>27</v>
      </c>
      <c r="L17" s="1" t="s">
        <v>28</v>
      </c>
      <c r="M17" s="10" t="s">
        <v>29</v>
      </c>
      <c r="N17" s="12"/>
      <c r="O17" s="1" t="s">
        <v>30</v>
      </c>
      <c r="P17" s="1" t="s">
        <v>19</v>
      </c>
      <c r="Q17" s="10" t="s">
        <v>22</v>
      </c>
      <c r="R17" s="10" t="s">
        <v>23</v>
      </c>
      <c r="S17" s="10" t="s">
        <v>31</v>
      </c>
      <c r="T17" s="1" t="s">
        <v>26</v>
      </c>
      <c r="U17" s="10" t="s">
        <v>29</v>
      </c>
    </row>
    <row r="18">
      <c r="A18" s="1">
        <v>1000.0</v>
      </c>
      <c r="B18" s="7">
        <f t="shared" ref="B18:B38" si="1">(A18*$B$1)</f>
        <v>133</v>
      </c>
      <c r="C18" s="6">
        <f t="shared" ref="C18:C38" si="2">(A18*$B$4)</f>
        <v>12000</v>
      </c>
      <c r="D18" s="6">
        <f t="shared" ref="D18:D38" si="3">(A18*$B$8)</f>
        <v>2080.1558</v>
      </c>
      <c r="E18" s="7">
        <f t="shared" ref="E18:E38" si="4">(B18+D18)</f>
        <v>2213.1558</v>
      </c>
      <c r="F18" s="6">
        <f t="shared" ref="F18:F38" si="5">(C18-E18)</f>
        <v>9786.8442</v>
      </c>
      <c r="G18" s="6">
        <f t="shared" ref="G18:G38" si="6">(F18*$B$13)</f>
        <v>831881.757</v>
      </c>
      <c r="H18" s="6">
        <f t="shared" ref="H18:H38" si="7">(A18*$B$11)</f>
        <v>2991.8</v>
      </c>
      <c r="I18" s="7">
        <f t="shared" ref="I18:I38" si="8">(A18*$B$10)</f>
        <v>5071.9558</v>
      </c>
      <c r="J18" s="6">
        <f t="shared" ref="J18:J38" si="9">(F18-H18)</f>
        <v>6795.0442</v>
      </c>
      <c r="K18" s="13">
        <f t="shared" ref="K18:K38" si="10">(A18*($B$8 - $B$9))</f>
        <v>415.6418</v>
      </c>
      <c r="L18" s="6">
        <f t="shared" ref="L18:L38" si="11">(J18+K18)</f>
        <v>7210.686</v>
      </c>
      <c r="M18" s="6">
        <f t="shared" ref="M18:M38" si="12">(L18*$B$13)</f>
        <v>612908.31</v>
      </c>
      <c r="N18" s="14">
        <f t="shared" ref="N18:N38" si="13">(U18-M18)</f>
        <v>332716.69</v>
      </c>
      <c r="O18" s="1">
        <v>1000.0</v>
      </c>
      <c r="P18" s="6">
        <f t="shared" ref="P18:P38" si="14">(O18*$B$4)</f>
        <v>12000</v>
      </c>
      <c r="Q18" s="6">
        <f t="shared" ref="Q18:Q38" si="15">(P18)</f>
        <v>12000</v>
      </c>
      <c r="R18" s="6">
        <f t="shared" ref="R18:R38" si="16">(Q18*$B$13)</f>
        <v>1020000</v>
      </c>
      <c r="S18" s="6">
        <f t="shared" ref="S18:S38" si="17">(O18*$B$12)</f>
        <v>875</v>
      </c>
      <c r="T18" s="6">
        <f t="shared" ref="T18:T38" si="18">(Q18-S18)</f>
        <v>11125</v>
      </c>
      <c r="U18" s="6">
        <f t="shared" ref="U18:U38" si="19">(T18*$B$13)</f>
        <v>945625</v>
      </c>
    </row>
    <row r="19">
      <c r="A19" s="1">
        <v>1500.0</v>
      </c>
      <c r="B19" s="7">
        <f t="shared" si="1"/>
        <v>199.5</v>
      </c>
      <c r="C19" s="6">
        <f t="shared" si="2"/>
        <v>18000</v>
      </c>
      <c r="D19" s="6">
        <f t="shared" si="3"/>
        <v>3120.2337</v>
      </c>
      <c r="E19" s="7">
        <f t="shared" si="4"/>
        <v>3319.7337</v>
      </c>
      <c r="F19" s="6">
        <f t="shared" si="5"/>
        <v>14680.2663</v>
      </c>
      <c r="G19" s="6">
        <f t="shared" si="6"/>
        <v>1247822.636</v>
      </c>
      <c r="H19" s="6">
        <f t="shared" si="7"/>
        <v>4487.7</v>
      </c>
      <c r="I19" s="7">
        <f t="shared" si="8"/>
        <v>7607.9337</v>
      </c>
      <c r="J19" s="6">
        <f t="shared" si="9"/>
        <v>10192.5663</v>
      </c>
      <c r="K19" s="13">
        <f t="shared" si="10"/>
        <v>623.4627</v>
      </c>
      <c r="L19" s="6">
        <f t="shared" si="11"/>
        <v>10816.029</v>
      </c>
      <c r="M19" s="6">
        <f t="shared" si="12"/>
        <v>919362.465</v>
      </c>
      <c r="N19" s="14">
        <f t="shared" si="13"/>
        <v>499075.035</v>
      </c>
      <c r="O19" s="1">
        <v>1500.0</v>
      </c>
      <c r="P19" s="6">
        <f t="shared" si="14"/>
        <v>18000</v>
      </c>
      <c r="Q19" s="6">
        <f t="shared" si="15"/>
        <v>18000</v>
      </c>
      <c r="R19" s="6">
        <f t="shared" si="16"/>
        <v>1530000</v>
      </c>
      <c r="S19" s="6">
        <f t="shared" si="17"/>
        <v>1312.5</v>
      </c>
      <c r="T19" s="6">
        <f t="shared" si="18"/>
        <v>16687.5</v>
      </c>
      <c r="U19" s="6">
        <f t="shared" si="19"/>
        <v>1418437.5</v>
      </c>
    </row>
    <row r="20">
      <c r="A20" s="1">
        <v>2000.0</v>
      </c>
      <c r="B20" s="7">
        <f t="shared" si="1"/>
        <v>266</v>
      </c>
      <c r="C20" s="6">
        <f t="shared" si="2"/>
        <v>24000</v>
      </c>
      <c r="D20" s="6">
        <f t="shared" si="3"/>
        <v>4160.3116</v>
      </c>
      <c r="E20" s="7">
        <f t="shared" si="4"/>
        <v>4426.3116</v>
      </c>
      <c r="F20" s="6">
        <f t="shared" si="5"/>
        <v>19573.6884</v>
      </c>
      <c r="G20" s="6">
        <f t="shared" si="6"/>
        <v>1663763.514</v>
      </c>
      <c r="H20" s="6">
        <f t="shared" si="7"/>
        <v>5983.6</v>
      </c>
      <c r="I20" s="7">
        <f t="shared" si="8"/>
        <v>10143.9116</v>
      </c>
      <c r="J20" s="6">
        <f t="shared" si="9"/>
        <v>13590.0884</v>
      </c>
      <c r="K20" s="13">
        <f t="shared" si="10"/>
        <v>831.2836</v>
      </c>
      <c r="L20" s="6">
        <f t="shared" si="11"/>
        <v>14421.372</v>
      </c>
      <c r="M20" s="6">
        <f t="shared" si="12"/>
        <v>1225816.62</v>
      </c>
      <c r="N20" s="14">
        <f t="shared" si="13"/>
        <v>665433.38</v>
      </c>
      <c r="O20" s="1">
        <v>2000.0</v>
      </c>
      <c r="P20" s="6">
        <f t="shared" si="14"/>
        <v>24000</v>
      </c>
      <c r="Q20" s="6">
        <f t="shared" si="15"/>
        <v>24000</v>
      </c>
      <c r="R20" s="6">
        <f t="shared" si="16"/>
        <v>2040000</v>
      </c>
      <c r="S20" s="6">
        <f t="shared" si="17"/>
        <v>1750</v>
      </c>
      <c r="T20" s="6">
        <f t="shared" si="18"/>
        <v>22250</v>
      </c>
      <c r="U20" s="6">
        <f t="shared" si="19"/>
        <v>1891250</v>
      </c>
    </row>
    <row r="21">
      <c r="A21" s="1">
        <v>2500.0</v>
      </c>
      <c r="B21" s="7">
        <f t="shared" si="1"/>
        <v>332.5</v>
      </c>
      <c r="C21" s="6">
        <f t="shared" si="2"/>
        <v>30000</v>
      </c>
      <c r="D21" s="6">
        <f t="shared" si="3"/>
        <v>5200.3895</v>
      </c>
      <c r="E21" s="7">
        <f t="shared" si="4"/>
        <v>5532.8895</v>
      </c>
      <c r="F21" s="6">
        <f t="shared" si="5"/>
        <v>24467.1105</v>
      </c>
      <c r="G21" s="6">
        <f t="shared" si="6"/>
        <v>2079704.393</v>
      </c>
      <c r="H21" s="6">
        <f t="shared" si="7"/>
        <v>7479.5</v>
      </c>
      <c r="I21" s="7">
        <f t="shared" si="8"/>
        <v>12679.8895</v>
      </c>
      <c r="J21" s="6">
        <f t="shared" si="9"/>
        <v>16987.6105</v>
      </c>
      <c r="K21" s="13">
        <f t="shared" si="10"/>
        <v>1039.1045</v>
      </c>
      <c r="L21" s="6">
        <f t="shared" si="11"/>
        <v>18026.715</v>
      </c>
      <c r="M21" s="6">
        <f t="shared" si="12"/>
        <v>1532270.775</v>
      </c>
      <c r="N21" s="14">
        <f t="shared" si="13"/>
        <v>831791.725</v>
      </c>
      <c r="O21" s="1">
        <v>2500.0</v>
      </c>
      <c r="P21" s="6">
        <f t="shared" si="14"/>
        <v>30000</v>
      </c>
      <c r="Q21" s="6">
        <f t="shared" si="15"/>
        <v>30000</v>
      </c>
      <c r="R21" s="6">
        <f t="shared" si="16"/>
        <v>2550000</v>
      </c>
      <c r="S21" s="6">
        <f t="shared" si="17"/>
        <v>2187.5</v>
      </c>
      <c r="T21" s="6">
        <f t="shared" si="18"/>
        <v>27812.5</v>
      </c>
      <c r="U21" s="6">
        <f t="shared" si="19"/>
        <v>2364062.5</v>
      </c>
    </row>
    <row r="22">
      <c r="A22" s="1">
        <v>3000.0</v>
      </c>
      <c r="B22" s="7">
        <f t="shared" si="1"/>
        <v>399</v>
      </c>
      <c r="C22" s="6">
        <f t="shared" si="2"/>
        <v>36000</v>
      </c>
      <c r="D22" s="6">
        <f t="shared" si="3"/>
        <v>6240.4674</v>
      </c>
      <c r="E22" s="7">
        <f t="shared" si="4"/>
        <v>6639.4674</v>
      </c>
      <c r="F22" s="6">
        <f t="shared" si="5"/>
        <v>29360.5326</v>
      </c>
      <c r="G22" s="6">
        <f t="shared" si="6"/>
        <v>2495645.271</v>
      </c>
      <c r="H22" s="6">
        <f t="shared" si="7"/>
        <v>8975.4</v>
      </c>
      <c r="I22" s="7">
        <f t="shared" si="8"/>
        <v>15215.8674</v>
      </c>
      <c r="J22" s="6">
        <f t="shared" si="9"/>
        <v>20385.1326</v>
      </c>
      <c r="K22" s="13">
        <f t="shared" si="10"/>
        <v>1246.9254</v>
      </c>
      <c r="L22" s="6">
        <f t="shared" si="11"/>
        <v>21632.058</v>
      </c>
      <c r="M22" s="6">
        <f t="shared" si="12"/>
        <v>1838724.93</v>
      </c>
      <c r="N22" s="14">
        <f t="shared" si="13"/>
        <v>998150.07</v>
      </c>
      <c r="O22" s="1">
        <v>3000.0</v>
      </c>
      <c r="P22" s="6">
        <f t="shared" si="14"/>
        <v>36000</v>
      </c>
      <c r="Q22" s="6">
        <f t="shared" si="15"/>
        <v>36000</v>
      </c>
      <c r="R22" s="6">
        <f t="shared" si="16"/>
        <v>3060000</v>
      </c>
      <c r="S22" s="6">
        <f t="shared" si="17"/>
        <v>2625</v>
      </c>
      <c r="T22" s="6">
        <f t="shared" si="18"/>
        <v>33375</v>
      </c>
      <c r="U22" s="6">
        <f t="shared" si="19"/>
        <v>2836875</v>
      </c>
    </row>
    <row r="23">
      <c r="A23" s="1">
        <v>3500.0</v>
      </c>
      <c r="B23" s="7">
        <f t="shared" si="1"/>
        <v>465.5</v>
      </c>
      <c r="C23" s="6">
        <f t="shared" si="2"/>
        <v>42000</v>
      </c>
      <c r="D23" s="6">
        <f t="shared" si="3"/>
        <v>7280.5453</v>
      </c>
      <c r="E23" s="7">
        <f t="shared" si="4"/>
        <v>7746.0453</v>
      </c>
      <c r="F23" s="6">
        <f t="shared" si="5"/>
        <v>34253.9547</v>
      </c>
      <c r="G23" s="6">
        <f t="shared" si="6"/>
        <v>2911586.15</v>
      </c>
      <c r="H23" s="6">
        <f t="shared" si="7"/>
        <v>10471.3</v>
      </c>
      <c r="I23" s="7">
        <f t="shared" si="8"/>
        <v>17751.8453</v>
      </c>
      <c r="J23" s="6">
        <f t="shared" si="9"/>
        <v>23782.6547</v>
      </c>
      <c r="K23" s="13">
        <f t="shared" si="10"/>
        <v>1454.7463</v>
      </c>
      <c r="L23" s="6">
        <f t="shared" si="11"/>
        <v>25237.401</v>
      </c>
      <c r="M23" s="6">
        <f t="shared" si="12"/>
        <v>2145179.085</v>
      </c>
      <c r="N23" s="14">
        <f t="shared" si="13"/>
        <v>1164508.415</v>
      </c>
      <c r="O23" s="1">
        <v>3500.0</v>
      </c>
      <c r="P23" s="6">
        <f t="shared" si="14"/>
        <v>42000</v>
      </c>
      <c r="Q23" s="6">
        <f t="shared" si="15"/>
        <v>42000</v>
      </c>
      <c r="R23" s="6">
        <f t="shared" si="16"/>
        <v>3570000</v>
      </c>
      <c r="S23" s="6">
        <f t="shared" si="17"/>
        <v>3062.5</v>
      </c>
      <c r="T23" s="6">
        <f t="shared" si="18"/>
        <v>38937.5</v>
      </c>
      <c r="U23" s="6">
        <f t="shared" si="19"/>
        <v>3309687.5</v>
      </c>
    </row>
    <row r="24">
      <c r="A24" s="1">
        <v>4000.0</v>
      </c>
      <c r="B24" s="7">
        <f t="shared" si="1"/>
        <v>532</v>
      </c>
      <c r="C24" s="6">
        <f t="shared" si="2"/>
        <v>48000</v>
      </c>
      <c r="D24" s="6">
        <f t="shared" si="3"/>
        <v>8320.6232</v>
      </c>
      <c r="E24" s="7">
        <f t="shared" si="4"/>
        <v>8852.6232</v>
      </c>
      <c r="F24" s="6">
        <f t="shared" si="5"/>
        <v>39147.3768</v>
      </c>
      <c r="G24" s="6">
        <f t="shared" si="6"/>
        <v>3327527.028</v>
      </c>
      <c r="H24" s="6">
        <f t="shared" si="7"/>
        <v>11967.2</v>
      </c>
      <c r="I24" s="7">
        <f t="shared" si="8"/>
        <v>20287.8232</v>
      </c>
      <c r="J24" s="6">
        <f t="shared" si="9"/>
        <v>27180.1768</v>
      </c>
      <c r="K24" s="13">
        <f t="shared" si="10"/>
        <v>1662.5672</v>
      </c>
      <c r="L24" s="6">
        <f t="shared" si="11"/>
        <v>28842.744</v>
      </c>
      <c r="M24" s="6">
        <f t="shared" si="12"/>
        <v>2451633.24</v>
      </c>
      <c r="N24" s="14">
        <f t="shared" si="13"/>
        <v>1330866.76</v>
      </c>
      <c r="O24" s="1">
        <v>4000.0</v>
      </c>
      <c r="P24" s="6">
        <f t="shared" si="14"/>
        <v>48000</v>
      </c>
      <c r="Q24" s="6">
        <f t="shared" si="15"/>
        <v>48000</v>
      </c>
      <c r="R24" s="6">
        <f t="shared" si="16"/>
        <v>4080000</v>
      </c>
      <c r="S24" s="6">
        <f t="shared" si="17"/>
        <v>3500</v>
      </c>
      <c r="T24" s="6">
        <f t="shared" si="18"/>
        <v>44500</v>
      </c>
      <c r="U24" s="6">
        <f t="shared" si="19"/>
        <v>3782500</v>
      </c>
    </row>
    <row r="25">
      <c r="A25" s="1">
        <v>4510.0</v>
      </c>
      <c r="B25" s="7">
        <f t="shared" si="1"/>
        <v>599.83</v>
      </c>
      <c r="C25" s="6">
        <f t="shared" si="2"/>
        <v>54120</v>
      </c>
      <c r="D25" s="6">
        <f t="shared" si="3"/>
        <v>9381.502658</v>
      </c>
      <c r="E25" s="7">
        <f t="shared" si="4"/>
        <v>9981.332658</v>
      </c>
      <c r="F25" s="6">
        <f t="shared" si="5"/>
        <v>44138.66734</v>
      </c>
      <c r="G25" s="6">
        <f t="shared" si="6"/>
        <v>3751786.724</v>
      </c>
      <c r="H25" s="6">
        <f t="shared" si="7"/>
        <v>13493.018</v>
      </c>
      <c r="I25" s="7">
        <f t="shared" si="8"/>
        <v>22874.52066</v>
      </c>
      <c r="J25" s="6">
        <f t="shared" si="9"/>
        <v>30645.64934</v>
      </c>
      <c r="K25" s="13">
        <f t="shared" si="10"/>
        <v>1874.544518</v>
      </c>
      <c r="L25" s="6">
        <f t="shared" si="11"/>
        <v>32520.19386</v>
      </c>
      <c r="M25" s="6">
        <f t="shared" si="12"/>
        <v>2764216.478</v>
      </c>
      <c r="N25" s="14">
        <f t="shared" si="13"/>
        <v>1500552.272</v>
      </c>
      <c r="O25" s="1">
        <v>4510.0</v>
      </c>
      <c r="P25" s="6">
        <f t="shared" si="14"/>
        <v>54120</v>
      </c>
      <c r="Q25" s="6">
        <f t="shared" si="15"/>
        <v>54120</v>
      </c>
      <c r="R25" s="6">
        <f t="shared" si="16"/>
        <v>4600200</v>
      </c>
      <c r="S25" s="6">
        <f t="shared" si="17"/>
        <v>3946.25</v>
      </c>
      <c r="T25" s="6">
        <f t="shared" si="18"/>
        <v>50173.75</v>
      </c>
      <c r="U25" s="6">
        <f t="shared" si="19"/>
        <v>4264768.75</v>
      </c>
    </row>
    <row r="26">
      <c r="A26" s="1">
        <v>5000.0</v>
      </c>
      <c r="B26" s="7">
        <f t="shared" si="1"/>
        <v>665</v>
      </c>
      <c r="C26" s="6">
        <f t="shared" si="2"/>
        <v>60000</v>
      </c>
      <c r="D26" s="6">
        <f t="shared" si="3"/>
        <v>10400.779</v>
      </c>
      <c r="E26" s="7">
        <f t="shared" si="4"/>
        <v>11065.779</v>
      </c>
      <c r="F26" s="6">
        <f t="shared" si="5"/>
        <v>48934.221</v>
      </c>
      <c r="G26" s="6">
        <f t="shared" si="6"/>
        <v>4159408.785</v>
      </c>
      <c r="H26" s="6">
        <f t="shared" si="7"/>
        <v>14959</v>
      </c>
      <c r="I26" s="7">
        <f t="shared" si="8"/>
        <v>25359.779</v>
      </c>
      <c r="J26" s="6">
        <f t="shared" si="9"/>
        <v>33975.221</v>
      </c>
      <c r="K26" s="13">
        <f t="shared" si="10"/>
        <v>2078.209</v>
      </c>
      <c r="L26" s="6">
        <f t="shared" si="11"/>
        <v>36053.43</v>
      </c>
      <c r="M26" s="6">
        <f t="shared" si="12"/>
        <v>3064541.55</v>
      </c>
      <c r="N26" s="14">
        <f t="shared" si="13"/>
        <v>1663583.45</v>
      </c>
      <c r="O26" s="1">
        <v>5000.0</v>
      </c>
      <c r="P26" s="6">
        <f t="shared" si="14"/>
        <v>60000</v>
      </c>
      <c r="Q26" s="6">
        <f t="shared" si="15"/>
        <v>60000</v>
      </c>
      <c r="R26" s="6">
        <f t="shared" si="16"/>
        <v>5100000</v>
      </c>
      <c r="S26" s="6">
        <f t="shared" si="17"/>
        <v>4375</v>
      </c>
      <c r="T26" s="6">
        <f t="shared" si="18"/>
        <v>55625</v>
      </c>
      <c r="U26" s="6">
        <f t="shared" si="19"/>
        <v>4728125</v>
      </c>
    </row>
    <row r="27">
      <c r="A27" s="1">
        <v>5500.0</v>
      </c>
      <c r="B27" s="7">
        <f t="shared" si="1"/>
        <v>731.5</v>
      </c>
      <c r="C27" s="6">
        <f t="shared" si="2"/>
        <v>66000</v>
      </c>
      <c r="D27" s="6">
        <f t="shared" si="3"/>
        <v>11440.8569</v>
      </c>
      <c r="E27" s="7">
        <f t="shared" si="4"/>
        <v>12172.3569</v>
      </c>
      <c r="F27" s="6">
        <f t="shared" si="5"/>
        <v>53827.6431</v>
      </c>
      <c r="G27" s="6">
        <f t="shared" si="6"/>
        <v>4575349.664</v>
      </c>
      <c r="H27" s="6">
        <f t="shared" si="7"/>
        <v>16454.9</v>
      </c>
      <c r="I27" s="7">
        <f t="shared" si="8"/>
        <v>27895.7569</v>
      </c>
      <c r="J27" s="6">
        <f t="shared" si="9"/>
        <v>37372.7431</v>
      </c>
      <c r="K27" s="13">
        <f t="shared" si="10"/>
        <v>2286.0299</v>
      </c>
      <c r="L27" s="6">
        <f t="shared" si="11"/>
        <v>39658.773</v>
      </c>
      <c r="M27" s="6">
        <f t="shared" si="12"/>
        <v>3370995.705</v>
      </c>
      <c r="N27" s="14">
        <f t="shared" si="13"/>
        <v>1829941.795</v>
      </c>
      <c r="O27" s="1">
        <v>5500.0</v>
      </c>
      <c r="P27" s="6">
        <f t="shared" si="14"/>
        <v>66000</v>
      </c>
      <c r="Q27" s="6">
        <f t="shared" si="15"/>
        <v>66000</v>
      </c>
      <c r="R27" s="6">
        <f t="shared" si="16"/>
        <v>5610000</v>
      </c>
      <c r="S27" s="6">
        <f t="shared" si="17"/>
        <v>4812.5</v>
      </c>
      <c r="T27" s="6">
        <f t="shared" si="18"/>
        <v>61187.5</v>
      </c>
      <c r="U27" s="6">
        <f t="shared" si="19"/>
        <v>5200937.5</v>
      </c>
    </row>
    <row r="28">
      <c r="A28" s="1">
        <v>6000.0</v>
      </c>
      <c r="B28" s="7">
        <f t="shared" si="1"/>
        <v>798</v>
      </c>
      <c r="C28" s="6">
        <f t="shared" si="2"/>
        <v>72000</v>
      </c>
      <c r="D28" s="6">
        <f t="shared" si="3"/>
        <v>12480.9348</v>
      </c>
      <c r="E28" s="7">
        <f t="shared" si="4"/>
        <v>13278.9348</v>
      </c>
      <c r="F28" s="6">
        <f t="shared" si="5"/>
        <v>58721.0652</v>
      </c>
      <c r="G28" s="6">
        <f t="shared" si="6"/>
        <v>4991290.542</v>
      </c>
      <c r="H28" s="6">
        <f t="shared" si="7"/>
        <v>17950.8</v>
      </c>
      <c r="I28" s="7">
        <f t="shared" si="8"/>
        <v>30431.7348</v>
      </c>
      <c r="J28" s="6">
        <f t="shared" si="9"/>
        <v>40770.2652</v>
      </c>
      <c r="K28" s="13">
        <f t="shared" si="10"/>
        <v>2493.8508</v>
      </c>
      <c r="L28" s="6">
        <f t="shared" si="11"/>
        <v>43264.116</v>
      </c>
      <c r="M28" s="6">
        <f t="shared" si="12"/>
        <v>3677449.86</v>
      </c>
      <c r="N28" s="14">
        <f t="shared" si="13"/>
        <v>1996300.14</v>
      </c>
      <c r="O28" s="1">
        <v>6000.0</v>
      </c>
      <c r="P28" s="6">
        <f t="shared" si="14"/>
        <v>72000</v>
      </c>
      <c r="Q28" s="6">
        <f t="shared" si="15"/>
        <v>72000</v>
      </c>
      <c r="R28" s="6">
        <f t="shared" si="16"/>
        <v>6120000</v>
      </c>
      <c r="S28" s="6">
        <f t="shared" si="17"/>
        <v>5250</v>
      </c>
      <c r="T28" s="6">
        <f t="shared" si="18"/>
        <v>66750</v>
      </c>
      <c r="U28" s="6">
        <f t="shared" si="19"/>
        <v>5673750</v>
      </c>
    </row>
    <row r="29">
      <c r="A29" s="1">
        <v>6500.0</v>
      </c>
      <c r="B29" s="7">
        <f t="shared" si="1"/>
        <v>864.5</v>
      </c>
      <c r="C29" s="6">
        <f t="shared" si="2"/>
        <v>78000</v>
      </c>
      <c r="D29" s="6">
        <f t="shared" si="3"/>
        <v>13521.0127</v>
      </c>
      <c r="E29" s="7">
        <f t="shared" si="4"/>
        <v>14385.5127</v>
      </c>
      <c r="F29" s="6">
        <f t="shared" si="5"/>
        <v>63614.4873</v>
      </c>
      <c r="G29" s="6">
        <f t="shared" si="6"/>
        <v>5407231.421</v>
      </c>
      <c r="H29" s="6">
        <f t="shared" si="7"/>
        <v>19446.7</v>
      </c>
      <c r="I29" s="7">
        <f t="shared" si="8"/>
        <v>32967.7127</v>
      </c>
      <c r="J29" s="6">
        <f t="shared" si="9"/>
        <v>44167.7873</v>
      </c>
      <c r="K29" s="13">
        <f t="shared" si="10"/>
        <v>2701.6717</v>
      </c>
      <c r="L29" s="6">
        <f t="shared" si="11"/>
        <v>46869.459</v>
      </c>
      <c r="M29" s="6">
        <f t="shared" si="12"/>
        <v>3983904.015</v>
      </c>
      <c r="N29" s="14">
        <f t="shared" si="13"/>
        <v>2162658.485</v>
      </c>
      <c r="O29" s="1">
        <v>6500.0</v>
      </c>
      <c r="P29" s="6">
        <f t="shared" si="14"/>
        <v>78000</v>
      </c>
      <c r="Q29" s="6">
        <f t="shared" si="15"/>
        <v>78000</v>
      </c>
      <c r="R29" s="6">
        <f t="shared" si="16"/>
        <v>6630000</v>
      </c>
      <c r="S29" s="6">
        <f t="shared" si="17"/>
        <v>5687.5</v>
      </c>
      <c r="T29" s="6">
        <f t="shared" si="18"/>
        <v>72312.5</v>
      </c>
      <c r="U29" s="6">
        <f t="shared" si="19"/>
        <v>6146562.5</v>
      </c>
    </row>
    <row r="30">
      <c r="A30" s="1">
        <v>7000.0</v>
      </c>
      <c r="B30" s="7">
        <f t="shared" si="1"/>
        <v>931</v>
      </c>
      <c r="C30" s="6">
        <f t="shared" si="2"/>
        <v>84000</v>
      </c>
      <c r="D30" s="6">
        <f t="shared" si="3"/>
        <v>14561.0906</v>
      </c>
      <c r="E30" s="7">
        <f t="shared" si="4"/>
        <v>15492.0906</v>
      </c>
      <c r="F30" s="6">
        <f t="shared" si="5"/>
        <v>68507.9094</v>
      </c>
      <c r="G30" s="6">
        <f t="shared" si="6"/>
        <v>5823172.299</v>
      </c>
      <c r="H30" s="6">
        <f t="shared" si="7"/>
        <v>20942.6</v>
      </c>
      <c r="I30" s="7">
        <f t="shared" si="8"/>
        <v>35503.6906</v>
      </c>
      <c r="J30" s="6">
        <f t="shared" si="9"/>
        <v>47565.3094</v>
      </c>
      <c r="K30" s="13">
        <f t="shared" si="10"/>
        <v>2909.4926</v>
      </c>
      <c r="L30" s="6">
        <f t="shared" si="11"/>
        <v>50474.802</v>
      </c>
      <c r="M30" s="6">
        <f t="shared" si="12"/>
        <v>4290358.17</v>
      </c>
      <c r="N30" s="14">
        <f t="shared" si="13"/>
        <v>2329016.83</v>
      </c>
      <c r="O30" s="1">
        <v>7000.0</v>
      </c>
      <c r="P30" s="6">
        <f t="shared" si="14"/>
        <v>84000</v>
      </c>
      <c r="Q30" s="6">
        <f t="shared" si="15"/>
        <v>84000</v>
      </c>
      <c r="R30" s="6">
        <f t="shared" si="16"/>
        <v>7140000</v>
      </c>
      <c r="S30" s="6">
        <f t="shared" si="17"/>
        <v>6125</v>
      </c>
      <c r="T30" s="6">
        <f t="shared" si="18"/>
        <v>77875</v>
      </c>
      <c r="U30" s="6">
        <f t="shared" si="19"/>
        <v>6619375</v>
      </c>
    </row>
    <row r="31">
      <c r="A31" s="1">
        <v>7500.0</v>
      </c>
      <c r="B31" s="7">
        <f t="shared" si="1"/>
        <v>997.5</v>
      </c>
      <c r="C31" s="6">
        <f t="shared" si="2"/>
        <v>90000</v>
      </c>
      <c r="D31" s="6">
        <f t="shared" si="3"/>
        <v>15601.1685</v>
      </c>
      <c r="E31" s="7">
        <f t="shared" si="4"/>
        <v>16598.6685</v>
      </c>
      <c r="F31" s="6">
        <f t="shared" si="5"/>
        <v>73401.3315</v>
      </c>
      <c r="G31" s="6">
        <f t="shared" si="6"/>
        <v>6239113.178</v>
      </c>
      <c r="H31" s="6">
        <f t="shared" si="7"/>
        <v>22438.5</v>
      </c>
      <c r="I31" s="7">
        <f t="shared" si="8"/>
        <v>38039.6685</v>
      </c>
      <c r="J31" s="6">
        <f t="shared" si="9"/>
        <v>50962.8315</v>
      </c>
      <c r="K31" s="13">
        <f t="shared" si="10"/>
        <v>3117.3135</v>
      </c>
      <c r="L31" s="6">
        <f t="shared" si="11"/>
        <v>54080.145</v>
      </c>
      <c r="M31" s="6">
        <f t="shared" si="12"/>
        <v>4596812.325</v>
      </c>
      <c r="N31" s="14">
        <f t="shared" si="13"/>
        <v>2495375.175</v>
      </c>
      <c r="O31" s="1">
        <v>7500.0</v>
      </c>
      <c r="P31" s="6">
        <f t="shared" si="14"/>
        <v>90000</v>
      </c>
      <c r="Q31" s="6">
        <f t="shared" si="15"/>
        <v>90000</v>
      </c>
      <c r="R31" s="6">
        <f t="shared" si="16"/>
        <v>7650000</v>
      </c>
      <c r="S31" s="6">
        <f t="shared" si="17"/>
        <v>6562.5</v>
      </c>
      <c r="T31" s="6">
        <f t="shared" si="18"/>
        <v>83437.5</v>
      </c>
      <c r="U31" s="6">
        <f t="shared" si="19"/>
        <v>7092187.5</v>
      </c>
    </row>
    <row r="32">
      <c r="A32" s="1">
        <v>8000.0</v>
      </c>
      <c r="B32" s="7">
        <f t="shared" si="1"/>
        <v>1064</v>
      </c>
      <c r="C32" s="6">
        <f t="shared" si="2"/>
        <v>96000</v>
      </c>
      <c r="D32" s="6">
        <f t="shared" si="3"/>
        <v>16641.2464</v>
      </c>
      <c r="E32" s="7">
        <f t="shared" si="4"/>
        <v>17705.2464</v>
      </c>
      <c r="F32" s="6">
        <f t="shared" si="5"/>
        <v>78294.7536</v>
      </c>
      <c r="G32" s="6">
        <f t="shared" si="6"/>
        <v>6655054.056</v>
      </c>
      <c r="H32" s="6">
        <f t="shared" si="7"/>
        <v>23934.4</v>
      </c>
      <c r="I32" s="7">
        <f t="shared" si="8"/>
        <v>40575.6464</v>
      </c>
      <c r="J32" s="6">
        <f t="shared" si="9"/>
        <v>54360.3536</v>
      </c>
      <c r="K32" s="13">
        <f t="shared" si="10"/>
        <v>3325.1344</v>
      </c>
      <c r="L32" s="6">
        <f t="shared" si="11"/>
        <v>57685.488</v>
      </c>
      <c r="M32" s="6">
        <f t="shared" si="12"/>
        <v>4903266.48</v>
      </c>
      <c r="N32" s="14">
        <f t="shared" si="13"/>
        <v>2661733.52</v>
      </c>
      <c r="O32" s="1">
        <v>8000.0</v>
      </c>
      <c r="P32" s="6">
        <f t="shared" si="14"/>
        <v>96000</v>
      </c>
      <c r="Q32" s="6">
        <f t="shared" si="15"/>
        <v>96000</v>
      </c>
      <c r="R32" s="6">
        <f t="shared" si="16"/>
        <v>8160000</v>
      </c>
      <c r="S32" s="6">
        <f t="shared" si="17"/>
        <v>7000</v>
      </c>
      <c r="T32" s="6">
        <f t="shared" si="18"/>
        <v>89000</v>
      </c>
      <c r="U32" s="6">
        <f t="shared" si="19"/>
        <v>7565000</v>
      </c>
    </row>
    <row r="33">
      <c r="A33" s="1">
        <v>8500.0</v>
      </c>
      <c r="B33" s="7">
        <f t="shared" si="1"/>
        <v>1130.5</v>
      </c>
      <c r="C33" s="6">
        <f t="shared" si="2"/>
        <v>102000</v>
      </c>
      <c r="D33" s="6">
        <f t="shared" si="3"/>
        <v>17681.3243</v>
      </c>
      <c r="E33" s="7">
        <f t="shared" si="4"/>
        <v>18811.8243</v>
      </c>
      <c r="F33" s="6">
        <f t="shared" si="5"/>
        <v>83188.1757</v>
      </c>
      <c r="G33" s="6">
        <f t="shared" si="6"/>
        <v>7070994.935</v>
      </c>
      <c r="H33" s="6">
        <f t="shared" si="7"/>
        <v>25430.3</v>
      </c>
      <c r="I33" s="7">
        <f t="shared" si="8"/>
        <v>43111.6243</v>
      </c>
      <c r="J33" s="6">
        <f t="shared" si="9"/>
        <v>57757.8757</v>
      </c>
      <c r="K33" s="13">
        <f t="shared" si="10"/>
        <v>3532.9553</v>
      </c>
      <c r="L33" s="6">
        <f t="shared" si="11"/>
        <v>61290.831</v>
      </c>
      <c r="M33" s="6">
        <f t="shared" si="12"/>
        <v>5209720.635</v>
      </c>
      <c r="N33" s="14">
        <f t="shared" si="13"/>
        <v>2828091.865</v>
      </c>
      <c r="O33" s="1">
        <v>8500.0</v>
      </c>
      <c r="P33" s="6">
        <f t="shared" si="14"/>
        <v>102000</v>
      </c>
      <c r="Q33" s="6">
        <f t="shared" si="15"/>
        <v>102000</v>
      </c>
      <c r="R33" s="6">
        <f t="shared" si="16"/>
        <v>8670000</v>
      </c>
      <c r="S33" s="6">
        <f t="shared" si="17"/>
        <v>7437.5</v>
      </c>
      <c r="T33" s="6">
        <f t="shared" si="18"/>
        <v>94562.5</v>
      </c>
      <c r="U33" s="6">
        <f t="shared" si="19"/>
        <v>8037812.5</v>
      </c>
    </row>
    <row r="34">
      <c r="A34" s="1">
        <v>9000.0</v>
      </c>
      <c r="B34" s="7">
        <f t="shared" si="1"/>
        <v>1197</v>
      </c>
      <c r="C34" s="6">
        <f t="shared" si="2"/>
        <v>108000</v>
      </c>
      <c r="D34" s="6">
        <f t="shared" si="3"/>
        <v>18721.4022</v>
      </c>
      <c r="E34" s="7">
        <f t="shared" si="4"/>
        <v>19918.4022</v>
      </c>
      <c r="F34" s="6">
        <f t="shared" si="5"/>
        <v>88081.5978</v>
      </c>
      <c r="G34" s="6">
        <f t="shared" si="6"/>
        <v>7486935.813</v>
      </c>
      <c r="H34" s="6">
        <f t="shared" si="7"/>
        <v>26926.2</v>
      </c>
      <c r="I34" s="7">
        <f t="shared" si="8"/>
        <v>45647.6022</v>
      </c>
      <c r="J34" s="6">
        <f t="shared" si="9"/>
        <v>61155.3978</v>
      </c>
      <c r="K34" s="13">
        <f t="shared" si="10"/>
        <v>3740.7762</v>
      </c>
      <c r="L34" s="6">
        <f t="shared" si="11"/>
        <v>64896.174</v>
      </c>
      <c r="M34" s="6">
        <f t="shared" si="12"/>
        <v>5516174.79</v>
      </c>
      <c r="N34" s="14">
        <f t="shared" si="13"/>
        <v>2994450.21</v>
      </c>
      <c r="O34" s="1">
        <v>9000.0</v>
      </c>
      <c r="P34" s="6">
        <f t="shared" si="14"/>
        <v>108000</v>
      </c>
      <c r="Q34" s="6">
        <f t="shared" si="15"/>
        <v>108000</v>
      </c>
      <c r="R34" s="6">
        <f t="shared" si="16"/>
        <v>9180000</v>
      </c>
      <c r="S34" s="6">
        <f t="shared" si="17"/>
        <v>7875</v>
      </c>
      <c r="T34" s="6">
        <f t="shared" si="18"/>
        <v>100125</v>
      </c>
      <c r="U34" s="6">
        <f t="shared" si="19"/>
        <v>8510625</v>
      </c>
    </row>
    <row r="35">
      <c r="A35" s="1">
        <v>9500.0</v>
      </c>
      <c r="B35" s="7">
        <f t="shared" si="1"/>
        <v>1263.5</v>
      </c>
      <c r="C35" s="6">
        <f t="shared" si="2"/>
        <v>114000</v>
      </c>
      <c r="D35" s="6">
        <f t="shared" si="3"/>
        <v>19761.4801</v>
      </c>
      <c r="E35" s="7">
        <f t="shared" si="4"/>
        <v>21024.9801</v>
      </c>
      <c r="F35" s="6">
        <f t="shared" si="5"/>
        <v>92975.0199</v>
      </c>
      <c r="G35" s="6">
        <f t="shared" si="6"/>
        <v>7902876.692</v>
      </c>
      <c r="H35" s="6">
        <f t="shared" si="7"/>
        <v>28422.1</v>
      </c>
      <c r="I35" s="7">
        <f t="shared" si="8"/>
        <v>48183.5801</v>
      </c>
      <c r="J35" s="6">
        <f t="shared" si="9"/>
        <v>64552.9199</v>
      </c>
      <c r="K35" s="13">
        <f t="shared" si="10"/>
        <v>3948.5971</v>
      </c>
      <c r="L35" s="6">
        <f t="shared" si="11"/>
        <v>68501.517</v>
      </c>
      <c r="M35" s="6">
        <f t="shared" si="12"/>
        <v>5822628.945</v>
      </c>
      <c r="N35" s="14">
        <f t="shared" si="13"/>
        <v>3160808.555</v>
      </c>
      <c r="O35" s="1">
        <v>9500.0</v>
      </c>
      <c r="P35" s="6">
        <f t="shared" si="14"/>
        <v>114000</v>
      </c>
      <c r="Q35" s="6">
        <f t="shared" si="15"/>
        <v>114000</v>
      </c>
      <c r="R35" s="6">
        <f t="shared" si="16"/>
        <v>9690000</v>
      </c>
      <c r="S35" s="6">
        <f t="shared" si="17"/>
        <v>8312.5</v>
      </c>
      <c r="T35" s="6">
        <f t="shared" si="18"/>
        <v>105687.5</v>
      </c>
      <c r="U35" s="6">
        <f t="shared" si="19"/>
        <v>8983437.5</v>
      </c>
    </row>
    <row r="36">
      <c r="A36" s="1">
        <v>10000.0</v>
      </c>
      <c r="B36" s="7">
        <f t="shared" si="1"/>
        <v>1330</v>
      </c>
      <c r="C36" s="6">
        <f t="shared" si="2"/>
        <v>120000</v>
      </c>
      <c r="D36" s="6">
        <f t="shared" si="3"/>
        <v>20801.558</v>
      </c>
      <c r="E36" s="7">
        <f t="shared" si="4"/>
        <v>22131.558</v>
      </c>
      <c r="F36" s="6">
        <f t="shared" si="5"/>
        <v>97868.442</v>
      </c>
      <c r="G36" s="6">
        <f t="shared" si="6"/>
        <v>8318817.57</v>
      </c>
      <c r="H36" s="6">
        <f t="shared" si="7"/>
        <v>29918</v>
      </c>
      <c r="I36" s="7">
        <f t="shared" si="8"/>
        <v>50719.558</v>
      </c>
      <c r="J36" s="6">
        <f t="shared" si="9"/>
        <v>67950.442</v>
      </c>
      <c r="K36" s="13">
        <f t="shared" si="10"/>
        <v>4156.418</v>
      </c>
      <c r="L36" s="6">
        <f t="shared" si="11"/>
        <v>72106.86</v>
      </c>
      <c r="M36" s="6">
        <f t="shared" si="12"/>
        <v>6129083.1</v>
      </c>
      <c r="N36" s="14">
        <f t="shared" si="13"/>
        <v>3327166.9</v>
      </c>
      <c r="O36" s="1">
        <v>10000.0</v>
      </c>
      <c r="P36" s="6">
        <f t="shared" si="14"/>
        <v>120000</v>
      </c>
      <c r="Q36" s="6">
        <f t="shared" si="15"/>
        <v>120000</v>
      </c>
      <c r="R36" s="6">
        <f t="shared" si="16"/>
        <v>10200000</v>
      </c>
      <c r="S36" s="6">
        <f t="shared" si="17"/>
        <v>8750</v>
      </c>
      <c r="T36" s="6">
        <f t="shared" si="18"/>
        <v>111250</v>
      </c>
      <c r="U36" s="6">
        <f t="shared" si="19"/>
        <v>9456250</v>
      </c>
    </row>
    <row r="37">
      <c r="A37" s="1">
        <v>10500.0</v>
      </c>
      <c r="B37" s="7">
        <f t="shared" si="1"/>
        <v>1396.5</v>
      </c>
      <c r="C37" s="6">
        <f t="shared" si="2"/>
        <v>126000</v>
      </c>
      <c r="D37" s="6">
        <f t="shared" si="3"/>
        <v>21841.6359</v>
      </c>
      <c r="E37" s="7">
        <f t="shared" si="4"/>
        <v>23238.1359</v>
      </c>
      <c r="F37" s="6">
        <f t="shared" si="5"/>
        <v>102761.8641</v>
      </c>
      <c r="G37" s="6">
        <f t="shared" si="6"/>
        <v>8734758.449</v>
      </c>
      <c r="H37" s="6">
        <f t="shared" si="7"/>
        <v>31413.9</v>
      </c>
      <c r="I37" s="7">
        <f t="shared" si="8"/>
        <v>53255.5359</v>
      </c>
      <c r="J37" s="6">
        <f t="shared" si="9"/>
        <v>71347.9641</v>
      </c>
      <c r="K37" s="13">
        <f t="shared" si="10"/>
        <v>4364.2389</v>
      </c>
      <c r="L37" s="6">
        <f t="shared" si="11"/>
        <v>75712.203</v>
      </c>
      <c r="M37" s="6">
        <f t="shared" si="12"/>
        <v>6435537.255</v>
      </c>
      <c r="N37" s="14">
        <f t="shared" si="13"/>
        <v>3493525.245</v>
      </c>
      <c r="O37" s="1">
        <v>10500.0</v>
      </c>
      <c r="P37" s="6">
        <f t="shared" si="14"/>
        <v>126000</v>
      </c>
      <c r="Q37" s="6">
        <f t="shared" si="15"/>
        <v>126000</v>
      </c>
      <c r="R37" s="6">
        <f t="shared" si="16"/>
        <v>10710000</v>
      </c>
      <c r="S37" s="6">
        <f t="shared" si="17"/>
        <v>9187.5</v>
      </c>
      <c r="T37" s="6">
        <f t="shared" si="18"/>
        <v>116812.5</v>
      </c>
      <c r="U37" s="6">
        <f t="shared" si="19"/>
        <v>9929062.5</v>
      </c>
    </row>
    <row r="38">
      <c r="A38" s="1">
        <v>11000.0</v>
      </c>
      <c r="B38" s="7">
        <f t="shared" si="1"/>
        <v>1463</v>
      </c>
      <c r="C38" s="6">
        <f t="shared" si="2"/>
        <v>132000</v>
      </c>
      <c r="D38" s="6">
        <f t="shared" si="3"/>
        <v>22881.7138</v>
      </c>
      <c r="E38" s="7">
        <f t="shared" si="4"/>
        <v>24344.7138</v>
      </c>
      <c r="F38" s="6">
        <f t="shared" si="5"/>
        <v>107655.2862</v>
      </c>
      <c r="G38" s="6">
        <f t="shared" si="6"/>
        <v>9150699.327</v>
      </c>
      <c r="H38" s="6">
        <f t="shared" si="7"/>
        <v>32909.8</v>
      </c>
      <c r="I38" s="7">
        <f t="shared" si="8"/>
        <v>55791.5138</v>
      </c>
      <c r="J38" s="6">
        <f t="shared" si="9"/>
        <v>74745.4862</v>
      </c>
      <c r="K38" s="13">
        <f t="shared" si="10"/>
        <v>4572.0598</v>
      </c>
      <c r="L38" s="6">
        <f t="shared" si="11"/>
        <v>79317.546</v>
      </c>
      <c r="M38" s="6">
        <f t="shared" si="12"/>
        <v>6741991.41</v>
      </c>
      <c r="N38" s="14">
        <f t="shared" si="13"/>
        <v>3659883.59</v>
      </c>
      <c r="O38" s="1">
        <v>11000.0</v>
      </c>
      <c r="P38" s="6">
        <f t="shared" si="14"/>
        <v>132000</v>
      </c>
      <c r="Q38" s="6">
        <f t="shared" si="15"/>
        <v>132000</v>
      </c>
      <c r="R38" s="6">
        <f t="shared" si="16"/>
        <v>11220000</v>
      </c>
      <c r="S38" s="6">
        <f t="shared" si="17"/>
        <v>9625</v>
      </c>
      <c r="T38" s="6">
        <f t="shared" si="18"/>
        <v>122375</v>
      </c>
      <c r="U38" s="6">
        <f t="shared" si="19"/>
        <v>10401875</v>
      </c>
    </row>
    <row r="41">
      <c r="A41" s="8" t="s">
        <v>32</v>
      </c>
    </row>
    <row r="42">
      <c r="A42" s="15" t="s">
        <v>17</v>
      </c>
      <c r="B42" s="15" t="s">
        <v>18</v>
      </c>
      <c r="C42" s="15" t="s">
        <v>20</v>
      </c>
      <c r="D42" s="1" t="s">
        <v>33</v>
      </c>
      <c r="E42" s="1" t="s">
        <v>34</v>
      </c>
      <c r="F42" s="1" t="s">
        <v>35</v>
      </c>
      <c r="G42" s="1" t="s">
        <v>36</v>
      </c>
    </row>
    <row r="43">
      <c r="A43" s="1">
        <v>1000.0</v>
      </c>
      <c r="B43" s="7">
        <f t="shared" ref="B43:B63" si="20">(A43*$B$1)</f>
        <v>133</v>
      </c>
      <c r="C43" s="6">
        <f t="shared" ref="C43:C63" si="21">(A43*$B$9)</f>
        <v>1664.514</v>
      </c>
      <c r="D43" s="7">
        <f t="shared" ref="D43:D63" si="22">(B43+C43)</f>
        <v>1797.514</v>
      </c>
      <c r="E43" s="7">
        <f t="shared" ref="E43:E63" si="23">(D43*$B$13)</f>
        <v>152788.69</v>
      </c>
      <c r="F43" s="6">
        <f t="shared" ref="F43:F63" si="24">(M18-E43)</f>
        <v>460119.62</v>
      </c>
      <c r="G43" s="6">
        <f t="shared" ref="G43:G63" si="25">(U18-E43)</f>
        <v>792836.31</v>
      </c>
    </row>
    <row r="44">
      <c r="A44" s="1">
        <v>1500.0</v>
      </c>
      <c r="B44" s="7">
        <f t="shared" si="20"/>
        <v>199.5</v>
      </c>
      <c r="C44" s="6">
        <f t="shared" si="21"/>
        <v>2496.771</v>
      </c>
      <c r="D44" s="7">
        <f t="shared" si="22"/>
        <v>2696.271</v>
      </c>
      <c r="E44" s="7">
        <f t="shared" si="23"/>
        <v>229183.035</v>
      </c>
      <c r="F44" s="6">
        <f t="shared" si="24"/>
        <v>690179.43</v>
      </c>
      <c r="G44" s="6">
        <f t="shared" si="25"/>
        <v>1189254.465</v>
      </c>
    </row>
    <row r="45">
      <c r="A45" s="1">
        <v>2000.0</v>
      </c>
      <c r="B45" s="7">
        <f t="shared" si="20"/>
        <v>266</v>
      </c>
      <c r="C45" s="6">
        <f t="shared" si="21"/>
        <v>3329.028</v>
      </c>
      <c r="D45" s="7">
        <f t="shared" si="22"/>
        <v>3595.028</v>
      </c>
      <c r="E45" s="7">
        <f t="shared" si="23"/>
        <v>305577.38</v>
      </c>
      <c r="F45" s="6">
        <f t="shared" si="24"/>
        <v>920239.24</v>
      </c>
      <c r="G45" s="6">
        <f t="shared" si="25"/>
        <v>1585672.62</v>
      </c>
    </row>
    <row r="46">
      <c r="A46" s="1">
        <v>2500.0</v>
      </c>
      <c r="B46" s="7">
        <f t="shared" si="20"/>
        <v>332.5</v>
      </c>
      <c r="C46" s="6">
        <f t="shared" si="21"/>
        <v>4161.285</v>
      </c>
      <c r="D46" s="7">
        <f t="shared" si="22"/>
        <v>4493.785</v>
      </c>
      <c r="E46" s="7">
        <f t="shared" si="23"/>
        <v>381971.725</v>
      </c>
      <c r="F46" s="6">
        <f t="shared" si="24"/>
        <v>1150299.05</v>
      </c>
      <c r="G46" s="6">
        <f t="shared" si="25"/>
        <v>1982090.775</v>
      </c>
    </row>
    <row r="47">
      <c r="A47" s="1">
        <v>3000.0</v>
      </c>
      <c r="B47" s="7">
        <f t="shared" si="20"/>
        <v>399</v>
      </c>
      <c r="C47" s="6">
        <f t="shared" si="21"/>
        <v>4993.542</v>
      </c>
      <c r="D47" s="7">
        <f t="shared" si="22"/>
        <v>5392.542</v>
      </c>
      <c r="E47" s="7">
        <f t="shared" si="23"/>
        <v>458366.07</v>
      </c>
      <c r="F47" s="6">
        <f t="shared" si="24"/>
        <v>1380358.86</v>
      </c>
      <c r="G47" s="6">
        <f t="shared" si="25"/>
        <v>2378508.93</v>
      </c>
    </row>
    <row r="48">
      <c r="A48" s="1">
        <v>3500.0</v>
      </c>
      <c r="B48" s="7">
        <f t="shared" si="20"/>
        <v>465.5</v>
      </c>
      <c r="C48" s="6">
        <f t="shared" si="21"/>
        <v>5825.799</v>
      </c>
      <c r="D48" s="7">
        <f t="shared" si="22"/>
        <v>6291.299</v>
      </c>
      <c r="E48" s="7">
        <f t="shared" si="23"/>
        <v>534760.415</v>
      </c>
      <c r="F48" s="6">
        <f t="shared" si="24"/>
        <v>1610418.67</v>
      </c>
      <c r="G48" s="6">
        <f t="shared" si="25"/>
        <v>2774927.085</v>
      </c>
    </row>
    <row r="49">
      <c r="A49" s="1">
        <v>4000.0</v>
      </c>
      <c r="B49" s="7">
        <f t="shared" si="20"/>
        <v>532</v>
      </c>
      <c r="C49" s="6">
        <f t="shared" si="21"/>
        <v>6658.056</v>
      </c>
      <c r="D49" s="7">
        <f t="shared" si="22"/>
        <v>7190.056</v>
      </c>
      <c r="E49" s="7">
        <f t="shared" si="23"/>
        <v>611154.76</v>
      </c>
      <c r="F49" s="6">
        <f t="shared" si="24"/>
        <v>1840478.48</v>
      </c>
      <c r="G49" s="6">
        <f t="shared" si="25"/>
        <v>3171345.24</v>
      </c>
    </row>
    <row r="50">
      <c r="A50" s="1">
        <v>4500.0</v>
      </c>
      <c r="B50" s="7">
        <f t="shared" si="20"/>
        <v>598.5</v>
      </c>
      <c r="C50" s="6">
        <f t="shared" si="21"/>
        <v>7490.313</v>
      </c>
      <c r="D50" s="7">
        <f t="shared" si="22"/>
        <v>8088.813</v>
      </c>
      <c r="E50" s="7">
        <f t="shared" si="23"/>
        <v>687549.105</v>
      </c>
      <c r="F50" s="6">
        <f t="shared" si="24"/>
        <v>2076667.373</v>
      </c>
      <c r="G50" s="6">
        <f t="shared" si="25"/>
        <v>3577219.645</v>
      </c>
    </row>
    <row r="51">
      <c r="A51" s="1">
        <v>5000.0</v>
      </c>
      <c r="B51" s="7">
        <f t="shared" si="20"/>
        <v>665</v>
      </c>
      <c r="C51" s="6">
        <f t="shared" si="21"/>
        <v>8322.57</v>
      </c>
      <c r="D51" s="7">
        <f t="shared" si="22"/>
        <v>8987.57</v>
      </c>
      <c r="E51" s="7">
        <f t="shared" si="23"/>
        <v>763943.45</v>
      </c>
      <c r="F51" s="6">
        <f t="shared" si="24"/>
        <v>2300598.1</v>
      </c>
      <c r="G51" s="6">
        <f t="shared" si="25"/>
        <v>3964181.55</v>
      </c>
    </row>
    <row r="52">
      <c r="A52" s="1">
        <v>5500.0</v>
      </c>
      <c r="B52" s="7">
        <f t="shared" si="20"/>
        <v>731.5</v>
      </c>
      <c r="C52" s="6">
        <f t="shared" si="21"/>
        <v>9154.827</v>
      </c>
      <c r="D52" s="7">
        <f t="shared" si="22"/>
        <v>9886.327</v>
      </c>
      <c r="E52" s="7">
        <f t="shared" si="23"/>
        <v>840337.795</v>
      </c>
      <c r="F52" s="6">
        <f t="shared" si="24"/>
        <v>2530657.91</v>
      </c>
      <c r="G52" s="6">
        <f t="shared" si="25"/>
        <v>4360599.705</v>
      </c>
    </row>
    <row r="53">
      <c r="A53" s="1">
        <v>6000.0</v>
      </c>
      <c r="B53" s="7">
        <f t="shared" si="20"/>
        <v>798</v>
      </c>
      <c r="C53" s="6">
        <f t="shared" si="21"/>
        <v>9987.084</v>
      </c>
      <c r="D53" s="7">
        <f t="shared" si="22"/>
        <v>10785.084</v>
      </c>
      <c r="E53" s="7">
        <f t="shared" si="23"/>
        <v>916732.14</v>
      </c>
      <c r="F53" s="6">
        <f t="shared" si="24"/>
        <v>2760717.72</v>
      </c>
      <c r="G53" s="6">
        <f t="shared" si="25"/>
        <v>4757017.86</v>
      </c>
    </row>
    <row r="54">
      <c r="A54" s="1">
        <v>6500.0</v>
      </c>
      <c r="B54" s="7">
        <f t="shared" si="20"/>
        <v>864.5</v>
      </c>
      <c r="C54" s="6">
        <f t="shared" si="21"/>
        <v>10819.341</v>
      </c>
      <c r="D54" s="7">
        <f t="shared" si="22"/>
        <v>11683.841</v>
      </c>
      <c r="E54" s="7">
        <f t="shared" si="23"/>
        <v>993126.485</v>
      </c>
      <c r="F54" s="6">
        <f t="shared" si="24"/>
        <v>2990777.53</v>
      </c>
      <c r="G54" s="6">
        <f t="shared" si="25"/>
        <v>5153436.015</v>
      </c>
    </row>
    <row r="55">
      <c r="A55" s="1">
        <v>7000.0</v>
      </c>
      <c r="B55" s="7">
        <f t="shared" si="20"/>
        <v>931</v>
      </c>
      <c r="C55" s="6">
        <f t="shared" si="21"/>
        <v>11651.598</v>
      </c>
      <c r="D55" s="7">
        <f t="shared" si="22"/>
        <v>12582.598</v>
      </c>
      <c r="E55" s="7">
        <f t="shared" si="23"/>
        <v>1069520.83</v>
      </c>
      <c r="F55" s="6">
        <f t="shared" si="24"/>
        <v>3220837.34</v>
      </c>
      <c r="G55" s="6">
        <f t="shared" si="25"/>
        <v>5549854.17</v>
      </c>
    </row>
    <row r="56">
      <c r="A56" s="1">
        <v>7500.0</v>
      </c>
      <c r="B56" s="7">
        <f t="shared" si="20"/>
        <v>997.5</v>
      </c>
      <c r="C56" s="6">
        <f t="shared" si="21"/>
        <v>12483.855</v>
      </c>
      <c r="D56" s="7">
        <f t="shared" si="22"/>
        <v>13481.355</v>
      </c>
      <c r="E56" s="7">
        <f t="shared" si="23"/>
        <v>1145915.175</v>
      </c>
      <c r="F56" s="6">
        <f t="shared" si="24"/>
        <v>3450897.15</v>
      </c>
      <c r="G56" s="6">
        <f t="shared" si="25"/>
        <v>5946272.325</v>
      </c>
    </row>
    <row r="57">
      <c r="A57" s="1">
        <v>8000.0</v>
      </c>
      <c r="B57" s="7">
        <f t="shared" si="20"/>
        <v>1064</v>
      </c>
      <c r="C57" s="6">
        <f t="shared" si="21"/>
        <v>13316.112</v>
      </c>
      <c r="D57" s="7">
        <f t="shared" si="22"/>
        <v>14380.112</v>
      </c>
      <c r="E57" s="7">
        <f t="shared" si="23"/>
        <v>1222309.52</v>
      </c>
      <c r="F57" s="6">
        <f t="shared" si="24"/>
        <v>3680956.96</v>
      </c>
      <c r="G57" s="6">
        <f t="shared" si="25"/>
        <v>6342690.48</v>
      </c>
    </row>
    <row r="58">
      <c r="A58" s="1">
        <v>8500.0</v>
      </c>
      <c r="B58" s="7">
        <f t="shared" si="20"/>
        <v>1130.5</v>
      </c>
      <c r="C58" s="6">
        <f t="shared" si="21"/>
        <v>14148.369</v>
      </c>
      <c r="D58" s="7">
        <f t="shared" si="22"/>
        <v>15278.869</v>
      </c>
      <c r="E58" s="7">
        <f t="shared" si="23"/>
        <v>1298703.865</v>
      </c>
      <c r="F58" s="6">
        <f t="shared" si="24"/>
        <v>3911016.77</v>
      </c>
      <c r="G58" s="6">
        <f t="shared" si="25"/>
        <v>6739108.635</v>
      </c>
    </row>
    <row r="59">
      <c r="A59" s="1">
        <v>9000.0</v>
      </c>
      <c r="B59" s="7">
        <f t="shared" si="20"/>
        <v>1197</v>
      </c>
      <c r="C59" s="6">
        <f t="shared" si="21"/>
        <v>14980.626</v>
      </c>
      <c r="D59" s="7">
        <f t="shared" si="22"/>
        <v>16177.626</v>
      </c>
      <c r="E59" s="7">
        <f t="shared" si="23"/>
        <v>1375098.21</v>
      </c>
      <c r="F59" s="6">
        <f t="shared" si="24"/>
        <v>4141076.58</v>
      </c>
      <c r="G59" s="6">
        <f t="shared" si="25"/>
        <v>7135526.79</v>
      </c>
    </row>
    <row r="60">
      <c r="A60" s="1">
        <v>9500.0</v>
      </c>
      <c r="B60" s="7">
        <f t="shared" si="20"/>
        <v>1263.5</v>
      </c>
      <c r="C60" s="6">
        <f t="shared" si="21"/>
        <v>15812.883</v>
      </c>
      <c r="D60" s="7">
        <f t="shared" si="22"/>
        <v>17076.383</v>
      </c>
      <c r="E60" s="7">
        <f t="shared" si="23"/>
        <v>1451492.555</v>
      </c>
      <c r="F60" s="6">
        <f t="shared" si="24"/>
        <v>4371136.39</v>
      </c>
      <c r="G60" s="6">
        <f t="shared" si="25"/>
        <v>7531944.945</v>
      </c>
    </row>
    <row r="61">
      <c r="A61" s="1">
        <v>10000.0</v>
      </c>
      <c r="B61" s="7">
        <f t="shared" si="20"/>
        <v>1330</v>
      </c>
      <c r="C61" s="6">
        <f t="shared" si="21"/>
        <v>16645.14</v>
      </c>
      <c r="D61" s="7">
        <f t="shared" si="22"/>
        <v>17975.14</v>
      </c>
      <c r="E61" s="7">
        <f t="shared" si="23"/>
        <v>1527886.9</v>
      </c>
      <c r="F61" s="6">
        <f t="shared" si="24"/>
        <v>4601196.2</v>
      </c>
      <c r="G61" s="6">
        <f t="shared" si="25"/>
        <v>7928363.1</v>
      </c>
    </row>
    <row r="62">
      <c r="A62" s="1">
        <v>10500.0</v>
      </c>
      <c r="B62" s="7">
        <f t="shared" si="20"/>
        <v>1396.5</v>
      </c>
      <c r="C62" s="6">
        <f t="shared" si="21"/>
        <v>17477.397</v>
      </c>
      <c r="D62" s="7">
        <f t="shared" si="22"/>
        <v>18873.897</v>
      </c>
      <c r="E62" s="7">
        <f t="shared" si="23"/>
        <v>1604281.245</v>
      </c>
      <c r="F62" s="6">
        <f t="shared" si="24"/>
        <v>4831256.01</v>
      </c>
      <c r="G62" s="6">
        <f t="shared" si="25"/>
        <v>8324781.255</v>
      </c>
    </row>
    <row r="63">
      <c r="A63" s="1">
        <v>11000.0</v>
      </c>
      <c r="B63" s="7">
        <f t="shared" si="20"/>
        <v>1463</v>
      </c>
      <c r="C63" s="6">
        <f t="shared" si="21"/>
        <v>18309.654</v>
      </c>
      <c r="D63" s="7">
        <f t="shared" si="22"/>
        <v>19772.654</v>
      </c>
      <c r="E63" s="7">
        <f t="shared" si="23"/>
        <v>1680675.59</v>
      </c>
      <c r="F63" s="6">
        <f t="shared" si="24"/>
        <v>5061315.82</v>
      </c>
      <c r="G63" s="6">
        <f t="shared" si="25"/>
        <v>8721199.41</v>
      </c>
    </row>
    <row r="69">
      <c r="A69" s="15" t="s">
        <v>17</v>
      </c>
      <c r="B69" s="15" t="s">
        <v>18</v>
      </c>
      <c r="C69" s="15" t="s">
        <v>20</v>
      </c>
      <c r="D69" s="1" t="s">
        <v>33</v>
      </c>
      <c r="E69" s="1" t="s">
        <v>34</v>
      </c>
      <c r="F69" s="1" t="s">
        <v>35</v>
      </c>
      <c r="G69" s="1" t="s">
        <v>36</v>
      </c>
    </row>
    <row r="70">
      <c r="A70" s="1">
        <v>1000.0</v>
      </c>
      <c r="B70" s="7">
        <f>(A70*$C$1)</f>
        <v>133</v>
      </c>
      <c r="C70" s="6">
        <f>(A70*$B$8)</f>
        <v>2080.1558</v>
      </c>
      <c r="D70" s="7">
        <f>(B70+C70)</f>
        <v>2213.1558</v>
      </c>
      <c r="E70" s="7">
        <f>(D70*$B$13)</f>
        <v>188118.243</v>
      </c>
      <c r="F70" s="7">
        <f>(M45-E70)</f>
        <v>-188118.243</v>
      </c>
      <c r="G70" s="7">
        <f>(U45-E70)</f>
        <v>-188118.243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5" max="5" width="15.13"/>
  </cols>
  <sheetData>
    <row r="1">
      <c r="A1" s="1" t="s">
        <v>0</v>
      </c>
      <c r="B1" s="2">
        <v>2.89</v>
      </c>
    </row>
    <row r="2">
      <c r="A2" s="1" t="s">
        <v>2</v>
      </c>
      <c r="B2" s="3">
        <v>9.37</v>
      </c>
    </row>
    <row r="3">
      <c r="A3" s="1" t="s">
        <v>3</v>
      </c>
      <c r="B3" s="3">
        <v>3.15</v>
      </c>
    </row>
    <row r="4">
      <c r="A4" s="1" t="s">
        <v>4</v>
      </c>
      <c r="B4" s="3">
        <v>9.37</v>
      </c>
    </row>
    <row r="5">
      <c r="A5" s="1" t="s">
        <v>5</v>
      </c>
      <c r="B5" s="4">
        <v>0.4274</v>
      </c>
    </row>
    <row r="6">
      <c r="A6" s="1" t="s">
        <v>6</v>
      </c>
      <c r="B6" s="4">
        <v>0.342</v>
      </c>
    </row>
    <row r="7">
      <c r="A7" s="1" t="s">
        <v>7</v>
      </c>
      <c r="B7" s="5">
        <v>0.15</v>
      </c>
    </row>
    <row r="8">
      <c r="A8" s="1" t="s">
        <v>8</v>
      </c>
      <c r="B8" s="6">
        <f>(B2-B1) * B5</f>
        <v>2.769552</v>
      </c>
    </row>
    <row r="9">
      <c r="A9" s="1" t="s">
        <v>9</v>
      </c>
      <c r="B9" s="6">
        <f>(B2-B1) * B6</f>
        <v>2.21616</v>
      </c>
    </row>
    <row r="10">
      <c r="A10" s="1" t="s">
        <v>10</v>
      </c>
      <c r="B10" s="7">
        <f>(B4-B1) * B5</f>
        <v>2.769552</v>
      </c>
    </row>
    <row r="11">
      <c r="A11" s="1" t="s">
        <v>11</v>
      </c>
      <c r="B11" s="6">
        <f>(B4-B2)*B5</f>
        <v>0</v>
      </c>
    </row>
    <row r="12">
      <c r="A12" s="1" t="s">
        <v>12</v>
      </c>
      <c r="B12" s="6">
        <f>(B4-B3) * B7</f>
        <v>0.933</v>
      </c>
    </row>
    <row r="13">
      <c r="A13" s="1" t="s">
        <v>13</v>
      </c>
      <c r="B13" s="1">
        <v>83.7</v>
      </c>
    </row>
    <row r="15">
      <c r="A15" s="1" t="s">
        <v>17</v>
      </c>
      <c r="B15" s="1" t="s">
        <v>18</v>
      </c>
      <c r="C15" s="1" t="s">
        <v>19</v>
      </c>
      <c r="D15" s="1" t="s">
        <v>20</v>
      </c>
      <c r="E15" s="10" t="s">
        <v>21</v>
      </c>
      <c r="F15" s="10" t="s">
        <v>22</v>
      </c>
      <c r="G15" s="10" t="s">
        <v>23</v>
      </c>
      <c r="H15" s="10" t="s">
        <v>24</v>
      </c>
      <c r="I15" s="10" t="s">
        <v>25</v>
      </c>
      <c r="J15" s="1" t="s">
        <v>26</v>
      </c>
      <c r="K15" s="11" t="s">
        <v>27</v>
      </c>
      <c r="L15" s="1" t="s">
        <v>28</v>
      </c>
      <c r="M15" s="10" t="s">
        <v>29</v>
      </c>
    </row>
    <row r="16">
      <c r="A16" s="1">
        <v>2250.0</v>
      </c>
      <c r="B16" s="7">
        <f>(A16*$B$1)</f>
        <v>6502.5</v>
      </c>
      <c r="C16" s="6">
        <f>(A16*$B$4)</f>
        <v>21082.5</v>
      </c>
      <c r="D16" s="6">
        <f>(A16*$B$8)</f>
        <v>6231.492</v>
      </c>
      <c r="E16" s="7">
        <f>(B16+D16)</f>
        <v>12733.992</v>
      </c>
      <c r="F16" s="6">
        <f>(C16-E16)</f>
        <v>8348.508</v>
      </c>
      <c r="G16" s="6">
        <f>(F16*$B$13)</f>
        <v>698770.1196</v>
      </c>
      <c r="H16" s="6">
        <f>(A16*$B$11)</f>
        <v>0</v>
      </c>
      <c r="I16" s="7">
        <f>(A16*$B$10)</f>
        <v>6231.492</v>
      </c>
      <c r="J16" s="6">
        <f>(F16-H16)</f>
        <v>8348.508</v>
      </c>
      <c r="K16" s="13">
        <f>(A16*($B$8 - $B$9))</f>
        <v>1245.132</v>
      </c>
      <c r="L16" s="6">
        <f>(J16+K16)</f>
        <v>9593.64</v>
      </c>
      <c r="M16" s="6">
        <f>(L16*$B$13)</f>
        <v>802987.668</v>
      </c>
    </row>
    <row r="17">
      <c r="M17" s="6">
        <f>SUM(M16)</f>
        <v>802987.668</v>
      </c>
    </row>
    <row r="19">
      <c r="A19" s="1" t="s">
        <v>0</v>
      </c>
      <c r="B19" s="2">
        <v>3.5</v>
      </c>
    </row>
    <row r="20">
      <c r="A20" s="1" t="s">
        <v>2</v>
      </c>
      <c r="B20" s="3">
        <v>9.37</v>
      </c>
    </row>
    <row r="21">
      <c r="A21" s="1" t="s">
        <v>3</v>
      </c>
      <c r="B21" s="3">
        <v>3.15</v>
      </c>
    </row>
    <row r="22">
      <c r="A22" s="1" t="s">
        <v>4</v>
      </c>
      <c r="B22" s="3">
        <v>9.37</v>
      </c>
    </row>
    <row r="23">
      <c r="A23" s="1" t="s">
        <v>12</v>
      </c>
      <c r="B23" s="6">
        <f>(B4-B21) * B7</f>
        <v>0.933</v>
      </c>
    </row>
    <row r="24">
      <c r="A24" s="1" t="s">
        <v>30</v>
      </c>
      <c r="B24" s="1" t="s">
        <v>19</v>
      </c>
      <c r="C24" s="10" t="s">
        <v>22</v>
      </c>
      <c r="D24" s="10" t="s">
        <v>23</v>
      </c>
      <c r="E24" s="10" t="s">
        <v>31</v>
      </c>
      <c r="F24" s="1" t="s">
        <v>26</v>
      </c>
      <c r="G24" s="10" t="s">
        <v>29</v>
      </c>
    </row>
    <row r="25">
      <c r="A25" s="1">
        <v>4500.0</v>
      </c>
      <c r="B25" s="6">
        <f>(A25*$B$4)</f>
        <v>42165</v>
      </c>
      <c r="C25" s="6">
        <f>(B25)</f>
        <v>42165</v>
      </c>
      <c r="D25" s="6">
        <f>(C25*$B$13)</f>
        <v>3529210.5</v>
      </c>
      <c r="E25" s="6">
        <f>(A25*$B$23)</f>
        <v>4198.5</v>
      </c>
      <c r="F25" s="6">
        <f>(C25-E25)</f>
        <v>37966.5</v>
      </c>
      <c r="G25" s="6">
        <f>(F25*$B$13)</f>
        <v>3177796.05</v>
      </c>
    </row>
    <row r="26">
      <c r="G26" s="6">
        <f>SUM(G25)</f>
        <v>3177796.05</v>
      </c>
    </row>
    <row r="28">
      <c r="A28" s="1" t="s">
        <v>0</v>
      </c>
      <c r="B28" s="2">
        <v>0.133</v>
      </c>
    </row>
    <row r="29">
      <c r="A29" s="1" t="s">
        <v>2</v>
      </c>
      <c r="B29" s="3">
        <v>5.3</v>
      </c>
    </row>
    <row r="30">
      <c r="A30" s="1" t="s">
        <v>3</v>
      </c>
      <c r="B30" s="3">
        <v>3.15</v>
      </c>
    </row>
    <row r="31">
      <c r="A31" s="1" t="s">
        <v>4</v>
      </c>
      <c r="B31" s="3">
        <v>9.37</v>
      </c>
    </row>
    <row r="32">
      <c r="A32" s="1" t="s">
        <v>12</v>
      </c>
      <c r="B32" s="16">
        <f>(B13-B30) * B16</f>
        <v>523776.375</v>
      </c>
    </row>
    <row r="33">
      <c r="A33" s="1" t="s">
        <v>8</v>
      </c>
      <c r="B33" s="6">
        <f>(B29-B28) * $B$5</f>
        <v>2.2083758</v>
      </c>
    </row>
    <row r="34">
      <c r="A34" s="1" t="s">
        <v>9</v>
      </c>
      <c r="B34" s="6">
        <f>(B29-B28) * $B$6</f>
        <v>1.767114</v>
      </c>
    </row>
    <row r="36">
      <c r="A36" s="15" t="s">
        <v>17</v>
      </c>
      <c r="B36" s="15" t="s">
        <v>18</v>
      </c>
      <c r="C36" s="15" t="s">
        <v>20</v>
      </c>
      <c r="D36" s="1" t="s">
        <v>33</v>
      </c>
      <c r="E36" s="1" t="s">
        <v>34</v>
      </c>
      <c r="F36" s="1" t="s">
        <v>35</v>
      </c>
      <c r="G36" s="1" t="s">
        <v>36</v>
      </c>
      <c r="H36" s="1" t="s">
        <v>15</v>
      </c>
    </row>
    <row r="37">
      <c r="A37" s="1">
        <v>4500.0</v>
      </c>
      <c r="B37" s="7">
        <f>(A37*$B$28)</f>
        <v>598.5</v>
      </c>
      <c r="C37" s="6">
        <f>(A37*$B$33)</f>
        <v>9937.6911</v>
      </c>
      <c r="D37" s="7">
        <f>(B37+C37)</f>
        <v>10536.1911</v>
      </c>
      <c r="E37" s="7">
        <f>(D37*$B$13)</f>
        <v>881879.1951</v>
      </c>
      <c r="F37" s="6">
        <f>(M17)</f>
        <v>802987.668</v>
      </c>
      <c r="G37" s="6">
        <f>(G26-E37)</f>
        <v>2295916.855</v>
      </c>
      <c r="H37" s="6">
        <f>(F37-G37)</f>
        <v>-1492929.187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13.63"/>
  </cols>
  <sheetData>
    <row r="1">
      <c r="A1" s="1" t="s">
        <v>0</v>
      </c>
      <c r="B1" s="3">
        <v>2.895</v>
      </c>
    </row>
    <row r="2">
      <c r="A2" s="1" t="s">
        <v>2</v>
      </c>
      <c r="B2" s="3">
        <v>3.5</v>
      </c>
    </row>
    <row r="3">
      <c r="A3" s="1" t="s">
        <v>4</v>
      </c>
      <c r="B3" s="3">
        <v>9.37</v>
      </c>
    </row>
    <row r="4">
      <c r="A4" s="1" t="s">
        <v>5</v>
      </c>
      <c r="B4" s="4">
        <v>0.4274</v>
      </c>
    </row>
    <row r="5">
      <c r="A5" s="1" t="s">
        <v>6</v>
      </c>
      <c r="B5" s="4">
        <v>0.3432</v>
      </c>
    </row>
    <row r="6">
      <c r="A6" s="1" t="s">
        <v>7</v>
      </c>
      <c r="B6" s="17">
        <v>0.16</v>
      </c>
    </row>
    <row r="7">
      <c r="A7" s="1" t="s">
        <v>37</v>
      </c>
      <c r="B7" s="6">
        <f>(B2-B1) * B4</f>
        <v>0.258577</v>
      </c>
    </row>
    <row r="8">
      <c r="A8" s="1" t="s">
        <v>11</v>
      </c>
      <c r="B8" s="6">
        <f>(B3-B2)*B5</f>
        <v>2.014584</v>
      </c>
    </row>
    <row r="9">
      <c r="A9" s="1" t="s">
        <v>38</v>
      </c>
      <c r="B9" s="6">
        <f>(B3-B2) * B6</f>
        <v>0.9392</v>
      </c>
    </row>
    <row r="10">
      <c r="A10" s="1" t="s">
        <v>13</v>
      </c>
      <c r="B10" s="1">
        <v>83.7</v>
      </c>
    </row>
    <row r="11">
      <c r="A11" s="1" t="s">
        <v>39</v>
      </c>
      <c r="B11" s="3">
        <v>3.15</v>
      </c>
    </row>
    <row r="13">
      <c r="A13" s="8" t="s">
        <v>14</v>
      </c>
      <c r="K13" s="9" t="s">
        <v>15</v>
      </c>
      <c r="L13" s="8" t="s">
        <v>16</v>
      </c>
    </row>
    <row r="14">
      <c r="A14" s="1" t="s">
        <v>17</v>
      </c>
      <c r="B14" s="1" t="s">
        <v>18</v>
      </c>
      <c r="C14" s="1" t="s">
        <v>19</v>
      </c>
      <c r="D14" s="1" t="s">
        <v>20</v>
      </c>
      <c r="E14" s="10" t="s">
        <v>21</v>
      </c>
      <c r="F14" s="10" t="s">
        <v>22</v>
      </c>
      <c r="G14" s="10" t="s">
        <v>23</v>
      </c>
      <c r="H14" s="10" t="s">
        <v>24</v>
      </c>
      <c r="I14" s="1" t="s">
        <v>26</v>
      </c>
      <c r="J14" s="10" t="s">
        <v>29</v>
      </c>
      <c r="K14" s="12"/>
      <c r="L14" s="1" t="s">
        <v>30</v>
      </c>
      <c r="M14" s="1" t="s">
        <v>19</v>
      </c>
      <c r="N14" s="10" t="s">
        <v>22</v>
      </c>
      <c r="O14" s="10" t="s">
        <v>23</v>
      </c>
      <c r="P14" s="10" t="s">
        <v>31</v>
      </c>
      <c r="Q14" s="1" t="s">
        <v>26</v>
      </c>
      <c r="R14" s="10" t="s">
        <v>29</v>
      </c>
    </row>
    <row r="15">
      <c r="A15" s="1">
        <v>1000.0</v>
      </c>
      <c r="B15" s="6">
        <f t="shared" ref="B15:B35" si="1">(A15*$B$1)</f>
        <v>2895</v>
      </c>
      <c r="C15" s="6">
        <f t="shared" ref="C15:C35" si="2">(A15*$B$3)</f>
        <v>9370</v>
      </c>
      <c r="D15" s="6">
        <f t="shared" ref="D15:D35" si="3">(A15*$B$7)</f>
        <v>258.577</v>
      </c>
      <c r="E15" s="6">
        <f t="shared" ref="E15:E35" si="4">(B15+D15)</f>
        <v>3153.577</v>
      </c>
      <c r="F15" s="6">
        <f t="shared" ref="F15:F35" si="5">(C15-E15)</f>
        <v>6216.423</v>
      </c>
      <c r="G15" s="6">
        <f t="shared" ref="G15:G35" si="6">(F15*$B$10)</f>
        <v>520314.6051</v>
      </c>
      <c r="H15" s="6">
        <f t="shared" ref="H15:H35" si="7">(A15*$B$8)</f>
        <v>2014.584</v>
      </c>
      <c r="I15" s="6">
        <f t="shared" ref="I15:I35" si="8">(F15-H15)</f>
        <v>4201.839</v>
      </c>
      <c r="J15" s="6">
        <f t="shared" ref="J15:J35" si="9">(I15*$B$10)</f>
        <v>351693.9243</v>
      </c>
      <c r="K15" s="14">
        <f t="shared" ref="K15:K35" si="10">(R15-J15)</f>
        <v>353964.0357</v>
      </c>
      <c r="L15" s="1">
        <v>1000.0</v>
      </c>
      <c r="M15" s="6">
        <f t="shared" ref="M15:M35" si="11">(L15*$B$3)</f>
        <v>9370</v>
      </c>
      <c r="N15" s="6">
        <f t="shared" ref="N15:N35" si="12">(M15)</f>
        <v>9370</v>
      </c>
      <c r="O15" s="6">
        <f t="shared" ref="O15:O35" si="13">(N15*$B$10)</f>
        <v>784269</v>
      </c>
      <c r="P15" s="6">
        <f t="shared" ref="P15:P35" si="14">(L15*$B$9)</f>
        <v>939.2</v>
      </c>
      <c r="Q15" s="6">
        <f t="shared" ref="Q15:Q35" si="15">(N15-P15)</f>
        <v>8430.8</v>
      </c>
      <c r="R15" s="6">
        <f t="shared" ref="R15:R35" si="16">(Q15*$B$10)</f>
        <v>705657.96</v>
      </c>
    </row>
    <row r="16">
      <c r="A16" s="1">
        <v>1500.0</v>
      </c>
      <c r="B16" s="6">
        <f t="shared" si="1"/>
        <v>4342.5</v>
      </c>
      <c r="C16" s="6">
        <f t="shared" si="2"/>
        <v>14055</v>
      </c>
      <c r="D16" s="6">
        <f t="shared" si="3"/>
        <v>387.8655</v>
      </c>
      <c r="E16" s="6">
        <f t="shared" si="4"/>
        <v>4730.3655</v>
      </c>
      <c r="F16" s="6">
        <f t="shared" si="5"/>
        <v>9324.6345</v>
      </c>
      <c r="G16" s="6">
        <f t="shared" si="6"/>
        <v>780471.9077</v>
      </c>
      <c r="H16" s="6">
        <f t="shared" si="7"/>
        <v>3021.876</v>
      </c>
      <c r="I16" s="6">
        <f t="shared" si="8"/>
        <v>6302.7585</v>
      </c>
      <c r="J16" s="6">
        <f t="shared" si="9"/>
        <v>527540.8865</v>
      </c>
      <c r="K16" s="14">
        <f t="shared" si="10"/>
        <v>530946.0536</v>
      </c>
      <c r="L16" s="1">
        <v>1500.0</v>
      </c>
      <c r="M16" s="6">
        <f t="shared" si="11"/>
        <v>14055</v>
      </c>
      <c r="N16" s="6">
        <f t="shared" si="12"/>
        <v>14055</v>
      </c>
      <c r="O16" s="6">
        <f t="shared" si="13"/>
        <v>1176403.5</v>
      </c>
      <c r="P16" s="6">
        <f t="shared" si="14"/>
        <v>1408.8</v>
      </c>
      <c r="Q16" s="6">
        <f t="shared" si="15"/>
        <v>12646.2</v>
      </c>
      <c r="R16" s="6">
        <f t="shared" si="16"/>
        <v>1058486.94</v>
      </c>
    </row>
    <row r="17">
      <c r="A17" s="1">
        <v>2000.0</v>
      </c>
      <c r="B17" s="6">
        <f t="shared" si="1"/>
        <v>5790</v>
      </c>
      <c r="C17" s="6">
        <f t="shared" si="2"/>
        <v>18740</v>
      </c>
      <c r="D17" s="6">
        <f t="shared" si="3"/>
        <v>517.154</v>
      </c>
      <c r="E17" s="6">
        <f t="shared" si="4"/>
        <v>6307.154</v>
      </c>
      <c r="F17" s="6">
        <f t="shared" si="5"/>
        <v>12432.846</v>
      </c>
      <c r="G17" s="6">
        <f t="shared" si="6"/>
        <v>1040629.21</v>
      </c>
      <c r="H17" s="6">
        <f t="shared" si="7"/>
        <v>4029.168</v>
      </c>
      <c r="I17" s="6">
        <f t="shared" si="8"/>
        <v>8403.678</v>
      </c>
      <c r="J17" s="6">
        <f t="shared" si="9"/>
        <v>703387.8486</v>
      </c>
      <c r="K17" s="14">
        <f t="shared" si="10"/>
        <v>707928.0714</v>
      </c>
      <c r="L17" s="1">
        <v>2000.0</v>
      </c>
      <c r="M17" s="6">
        <f t="shared" si="11"/>
        <v>18740</v>
      </c>
      <c r="N17" s="6">
        <f t="shared" si="12"/>
        <v>18740</v>
      </c>
      <c r="O17" s="6">
        <f t="shared" si="13"/>
        <v>1568538</v>
      </c>
      <c r="P17" s="6">
        <f t="shared" si="14"/>
        <v>1878.4</v>
      </c>
      <c r="Q17" s="6">
        <f t="shared" si="15"/>
        <v>16861.6</v>
      </c>
      <c r="R17" s="6">
        <f t="shared" si="16"/>
        <v>1411315.92</v>
      </c>
    </row>
    <row r="18">
      <c r="A18" s="1">
        <v>2500.0</v>
      </c>
      <c r="B18" s="6">
        <f t="shared" si="1"/>
        <v>7237.5</v>
      </c>
      <c r="C18" s="6">
        <f t="shared" si="2"/>
        <v>23425</v>
      </c>
      <c r="D18" s="6">
        <f t="shared" si="3"/>
        <v>646.4425</v>
      </c>
      <c r="E18" s="6">
        <f t="shared" si="4"/>
        <v>7883.9425</v>
      </c>
      <c r="F18" s="6">
        <f t="shared" si="5"/>
        <v>15541.0575</v>
      </c>
      <c r="G18" s="6">
        <f t="shared" si="6"/>
        <v>1300786.513</v>
      </c>
      <c r="H18" s="6">
        <f t="shared" si="7"/>
        <v>5036.46</v>
      </c>
      <c r="I18" s="6">
        <f t="shared" si="8"/>
        <v>10504.5975</v>
      </c>
      <c r="J18" s="6">
        <f t="shared" si="9"/>
        <v>879234.8108</v>
      </c>
      <c r="K18" s="14">
        <f t="shared" si="10"/>
        <v>884910.0893</v>
      </c>
      <c r="L18" s="1">
        <v>2500.0</v>
      </c>
      <c r="M18" s="6">
        <f t="shared" si="11"/>
        <v>23425</v>
      </c>
      <c r="N18" s="6">
        <f t="shared" si="12"/>
        <v>23425</v>
      </c>
      <c r="O18" s="6">
        <f t="shared" si="13"/>
        <v>1960672.5</v>
      </c>
      <c r="P18" s="6">
        <f t="shared" si="14"/>
        <v>2348</v>
      </c>
      <c r="Q18" s="6">
        <f t="shared" si="15"/>
        <v>21077</v>
      </c>
      <c r="R18" s="6">
        <f t="shared" si="16"/>
        <v>1764144.9</v>
      </c>
    </row>
    <row r="19">
      <c r="A19" s="1">
        <v>3000.0</v>
      </c>
      <c r="B19" s="6">
        <f t="shared" si="1"/>
        <v>8685</v>
      </c>
      <c r="C19" s="6">
        <f t="shared" si="2"/>
        <v>28110</v>
      </c>
      <c r="D19" s="6">
        <f t="shared" si="3"/>
        <v>775.731</v>
      </c>
      <c r="E19" s="6">
        <f t="shared" si="4"/>
        <v>9460.731</v>
      </c>
      <c r="F19" s="6">
        <f t="shared" si="5"/>
        <v>18649.269</v>
      </c>
      <c r="G19" s="6">
        <f t="shared" si="6"/>
        <v>1560943.815</v>
      </c>
      <c r="H19" s="6">
        <f t="shared" si="7"/>
        <v>6043.752</v>
      </c>
      <c r="I19" s="6">
        <f t="shared" si="8"/>
        <v>12605.517</v>
      </c>
      <c r="J19" s="6">
        <f t="shared" si="9"/>
        <v>1055081.773</v>
      </c>
      <c r="K19" s="14">
        <f t="shared" si="10"/>
        <v>1061892.107</v>
      </c>
      <c r="L19" s="1">
        <v>3000.0</v>
      </c>
      <c r="M19" s="6">
        <f t="shared" si="11"/>
        <v>28110</v>
      </c>
      <c r="N19" s="6">
        <f t="shared" si="12"/>
        <v>28110</v>
      </c>
      <c r="O19" s="6">
        <f t="shared" si="13"/>
        <v>2352807</v>
      </c>
      <c r="P19" s="6">
        <f t="shared" si="14"/>
        <v>2817.6</v>
      </c>
      <c r="Q19" s="6">
        <f t="shared" si="15"/>
        <v>25292.4</v>
      </c>
      <c r="R19" s="6">
        <f t="shared" si="16"/>
        <v>2116973.88</v>
      </c>
    </row>
    <row r="20">
      <c r="A20" s="1">
        <v>3500.0</v>
      </c>
      <c r="B20" s="6">
        <f t="shared" si="1"/>
        <v>10132.5</v>
      </c>
      <c r="C20" s="6">
        <f t="shared" si="2"/>
        <v>32795</v>
      </c>
      <c r="D20" s="6">
        <f t="shared" si="3"/>
        <v>905.0195</v>
      </c>
      <c r="E20" s="6">
        <f t="shared" si="4"/>
        <v>11037.5195</v>
      </c>
      <c r="F20" s="6">
        <f t="shared" si="5"/>
        <v>21757.4805</v>
      </c>
      <c r="G20" s="6">
        <f t="shared" si="6"/>
        <v>1821101.118</v>
      </c>
      <c r="H20" s="6">
        <f t="shared" si="7"/>
        <v>7051.044</v>
      </c>
      <c r="I20" s="6">
        <f t="shared" si="8"/>
        <v>14706.4365</v>
      </c>
      <c r="J20" s="6">
        <f t="shared" si="9"/>
        <v>1230928.735</v>
      </c>
      <c r="K20" s="14">
        <f t="shared" si="10"/>
        <v>1238874.125</v>
      </c>
      <c r="L20" s="1">
        <v>3500.0</v>
      </c>
      <c r="M20" s="6">
        <f t="shared" si="11"/>
        <v>32795</v>
      </c>
      <c r="N20" s="6">
        <f t="shared" si="12"/>
        <v>32795</v>
      </c>
      <c r="O20" s="6">
        <f t="shared" si="13"/>
        <v>2744941.5</v>
      </c>
      <c r="P20" s="6">
        <f t="shared" si="14"/>
        <v>3287.2</v>
      </c>
      <c r="Q20" s="6">
        <f t="shared" si="15"/>
        <v>29507.8</v>
      </c>
      <c r="R20" s="6">
        <f t="shared" si="16"/>
        <v>2469802.86</v>
      </c>
    </row>
    <row r="21">
      <c r="A21" s="1">
        <v>4000.0</v>
      </c>
      <c r="B21" s="6">
        <f t="shared" si="1"/>
        <v>11580</v>
      </c>
      <c r="C21" s="6">
        <f t="shared" si="2"/>
        <v>37480</v>
      </c>
      <c r="D21" s="6">
        <f t="shared" si="3"/>
        <v>1034.308</v>
      </c>
      <c r="E21" s="6">
        <f t="shared" si="4"/>
        <v>12614.308</v>
      </c>
      <c r="F21" s="6">
        <f t="shared" si="5"/>
        <v>24865.692</v>
      </c>
      <c r="G21" s="6">
        <f t="shared" si="6"/>
        <v>2081258.42</v>
      </c>
      <c r="H21" s="6">
        <f t="shared" si="7"/>
        <v>8058.336</v>
      </c>
      <c r="I21" s="6">
        <f t="shared" si="8"/>
        <v>16807.356</v>
      </c>
      <c r="J21" s="6">
        <f t="shared" si="9"/>
        <v>1406775.697</v>
      </c>
      <c r="K21" s="14">
        <f t="shared" si="10"/>
        <v>1415856.143</v>
      </c>
      <c r="L21" s="1">
        <v>4000.0</v>
      </c>
      <c r="M21" s="6">
        <f t="shared" si="11"/>
        <v>37480</v>
      </c>
      <c r="N21" s="6">
        <f t="shared" si="12"/>
        <v>37480</v>
      </c>
      <c r="O21" s="6">
        <f t="shared" si="13"/>
        <v>3137076</v>
      </c>
      <c r="P21" s="6">
        <f t="shared" si="14"/>
        <v>3756.8</v>
      </c>
      <c r="Q21" s="6">
        <f t="shared" si="15"/>
        <v>33723.2</v>
      </c>
      <c r="R21" s="6">
        <f t="shared" si="16"/>
        <v>2822631.84</v>
      </c>
    </row>
    <row r="22">
      <c r="A22" s="1">
        <v>4500.0</v>
      </c>
      <c r="B22" s="6">
        <f t="shared" si="1"/>
        <v>13027.5</v>
      </c>
      <c r="C22" s="6">
        <f t="shared" si="2"/>
        <v>42165</v>
      </c>
      <c r="D22" s="6">
        <f t="shared" si="3"/>
        <v>1163.5965</v>
      </c>
      <c r="E22" s="6">
        <f t="shared" si="4"/>
        <v>14191.0965</v>
      </c>
      <c r="F22" s="6">
        <f t="shared" si="5"/>
        <v>27973.9035</v>
      </c>
      <c r="G22" s="6">
        <f t="shared" si="6"/>
        <v>2341415.723</v>
      </c>
      <c r="H22" s="6">
        <f t="shared" si="7"/>
        <v>9065.628</v>
      </c>
      <c r="I22" s="6">
        <f t="shared" si="8"/>
        <v>18908.2755</v>
      </c>
      <c r="J22" s="6">
        <f t="shared" si="9"/>
        <v>1582622.659</v>
      </c>
      <c r="K22" s="14">
        <f t="shared" si="10"/>
        <v>1592838.161</v>
      </c>
      <c r="L22" s="1">
        <v>4500.0</v>
      </c>
      <c r="M22" s="6">
        <f t="shared" si="11"/>
        <v>42165</v>
      </c>
      <c r="N22" s="6">
        <f t="shared" si="12"/>
        <v>42165</v>
      </c>
      <c r="O22" s="6">
        <f t="shared" si="13"/>
        <v>3529210.5</v>
      </c>
      <c r="P22" s="6">
        <f t="shared" si="14"/>
        <v>4226.4</v>
      </c>
      <c r="Q22" s="6">
        <f t="shared" si="15"/>
        <v>37938.6</v>
      </c>
      <c r="R22" s="6">
        <f t="shared" si="16"/>
        <v>3175460.82</v>
      </c>
    </row>
    <row r="23">
      <c r="A23" s="1">
        <v>5000.0</v>
      </c>
      <c r="B23" s="6">
        <f t="shared" si="1"/>
        <v>14475</v>
      </c>
      <c r="C23" s="6">
        <f t="shared" si="2"/>
        <v>46850</v>
      </c>
      <c r="D23" s="6">
        <f t="shared" si="3"/>
        <v>1292.885</v>
      </c>
      <c r="E23" s="6">
        <f t="shared" si="4"/>
        <v>15767.885</v>
      </c>
      <c r="F23" s="6">
        <f t="shared" si="5"/>
        <v>31082.115</v>
      </c>
      <c r="G23" s="6">
        <f t="shared" si="6"/>
        <v>2601573.026</v>
      </c>
      <c r="H23" s="6">
        <f t="shared" si="7"/>
        <v>10072.92</v>
      </c>
      <c r="I23" s="6">
        <f t="shared" si="8"/>
        <v>21009.195</v>
      </c>
      <c r="J23" s="6">
        <f t="shared" si="9"/>
        <v>1758469.622</v>
      </c>
      <c r="K23" s="14">
        <f t="shared" si="10"/>
        <v>1769820.179</v>
      </c>
      <c r="L23" s="1">
        <v>5000.0</v>
      </c>
      <c r="M23" s="6">
        <f t="shared" si="11"/>
        <v>46850</v>
      </c>
      <c r="N23" s="6">
        <f t="shared" si="12"/>
        <v>46850</v>
      </c>
      <c r="O23" s="6">
        <f t="shared" si="13"/>
        <v>3921345</v>
      </c>
      <c r="P23" s="6">
        <f t="shared" si="14"/>
        <v>4696</v>
      </c>
      <c r="Q23" s="6">
        <f t="shared" si="15"/>
        <v>42154</v>
      </c>
      <c r="R23" s="6">
        <f t="shared" si="16"/>
        <v>3528289.8</v>
      </c>
    </row>
    <row r="24">
      <c r="A24" s="1">
        <v>5500.0</v>
      </c>
      <c r="B24" s="6">
        <f t="shared" si="1"/>
        <v>15922.5</v>
      </c>
      <c r="C24" s="6">
        <f t="shared" si="2"/>
        <v>51535</v>
      </c>
      <c r="D24" s="6">
        <f t="shared" si="3"/>
        <v>1422.1735</v>
      </c>
      <c r="E24" s="6">
        <f t="shared" si="4"/>
        <v>17344.6735</v>
      </c>
      <c r="F24" s="6">
        <f t="shared" si="5"/>
        <v>34190.3265</v>
      </c>
      <c r="G24" s="6">
        <f t="shared" si="6"/>
        <v>2861730.328</v>
      </c>
      <c r="H24" s="6">
        <f t="shared" si="7"/>
        <v>11080.212</v>
      </c>
      <c r="I24" s="6">
        <f t="shared" si="8"/>
        <v>23110.1145</v>
      </c>
      <c r="J24" s="6">
        <f t="shared" si="9"/>
        <v>1934316.584</v>
      </c>
      <c r="K24" s="14">
        <f t="shared" si="10"/>
        <v>1946802.196</v>
      </c>
      <c r="L24" s="1">
        <v>5500.0</v>
      </c>
      <c r="M24" s="6">
        <f t="shared" si="11"/>
        <v>51535</v>
      </c>
      <c r="N24" s="6">
        <f t="shared" si="12"/>
        <v>51535</v>
      </c>
      <c r="O24" s="6">
        <f t="shared" si="13"/>
        <v>4313479.5</v>
      </c>
      <c r="P24" s="6">
        <f t="shared" si="14"/>
        <v>5165.6</v>
      </c>
      <c r="Q24" s="6">
        <f t="shared" si="15"/>
        <v>46369.4</v>
      </c>
      <c r="R24" s="6">
        <f t="shared" si="16"/>
        <v>3881118.78</v>
      </c>
    </row>
    <row r="25">
      <c r="A25" s="1">
        <v>6000.0</v>
      </c>
      <c r="B25" s="6">
        <f t="shared" si="1"/>
        <v>17370</v>
      </c>
      <c r="C25" s="6">
        <f t="shared" si="2"/>
        <v>56220</v>
      </c>
      <c r="D25" s="6">
        <f t="shared" si="3"/>
        <v>1551.462</v>
      </c>
      <c r="E25" s="6">
        <f t="shared" si="4"/>
        <v>18921.462</v>
      </c>
      <c r="F25" s="6">
        <f t="shared" si="5"/>
        <v>37298.538</v>
      </c>
      <c r="G25" s="6">
        <f t="shared" si="6"/>
        <v>3121887.631</v>
      </c>
      <c r="H25" s="6">
        <f t="shared" si="7"/>
        <v>12087.504</v>
      </c>
      <c r="I25" s="6">
        <f t="shared" si="8"/>
        <v>25211.034</v>
      </c>
      <c r="J25" s="6">
        <f t="shared" si="9"/>
        <v>2110163.546</v>
      </c>
      <c r="K25" s="14">
        <f t="shared" si="10"/>
        <v>2123784.214</v>
      </c>
      <c r="L25" s="1">
        <v>6000.0</v>
      </c>
      <c r="M25" s="6">
        <f t="shared" si="11"/>
        <v>56220</v>
      </c>
      <c r="N25" s="6">
        <f t="shared" si="12"/>
        <v>56220</v>
      </c>
      <c r="O25" s="6">
        <f t="shared" si="13"/>
        <v>4705614</v>
      </c>
      <c r="P25" s="6">
        <f t="shared" si="14"/>
        <v>5635.2</v>
      </c>
      <c r="Q25" s="6">
        <f t="shared" si="15"/>
        <v>50584.8</v>
      </c>
      <c r="R25" s="6">
        <f t="shared" si="16"/>
        <v>4233947.76</v>
      </c>
    </row>
    <row r="26">
      <c r="A26" s="1">
        <v>6500.0</v>
      </c>
      <c r="B26" s="6">
        <f t="shared" si="1"/>
        <v>18817.5</v>
      </c>
      <c r="C26" s="6">
        <f t="shared" si="2"/>
        <v>60905</v>
      </c>
      <c r="D26" s="6">
        <f t="shared" si="3"/>
        <v>1680.7505</v>
      </c>
      <c r="E26" s="6">
        <f t="shared" si="4"/>
        <v>20498.2505</v>
      </c>
      <c r="F26" s="6">
        <f t="shared" si="5"/>
        <v>40406.7495</v>
      </c>
      <c r="G26" s="6">
        <f t="shared" si="6"/>
        <v>3382044.933</v>
      </c>
      <c r="H26" s="6">
        <f t="shared" si="7"/>
        <v>13094.796</v>
      </c>
      <c r="I26" s="6">
        <f t="shared" si="8"/>
        <v>27311.9535</v>
      </c>
      <c r="J26" s="6">
        <f t="shared" si="9"/>
        <v>2286010.508</v>
      </c>
      <c r="K26" s="14">
        <f t="shared" si="10"/>
        <v>2300766.232</v>
      </c>
      <c r="L26" s="1">
        <v>6500.0</v>
      </c>
      <c r="M26" s="6">
        <f t="shared" si="11"/>
        <v>60905</v>
      </c>
      <c r="N26" s="6">
        <f t="shared" si="12"/>
        <v>60905</v>
      </c>
      <c r="O26" s="6">
        <f t="shared" si="13"/>
        <v>5097748.5</v>
      </c>
      <c r="P26" s="6">
        <f t="shared" si="14"/>
        <v>6104.8</v>
      </c>
      <c r="Q26" s="6">
        <f t="shared" si="15"/>
        <v>54800.2</v>
      </c>
      <c r="R26" s="6">
        <f t="shared" si="16"/>
        <v>4586776.74</v>
      </c>
    </row>
    <row r="27">
      <c r="A27" s="1">
        <v>7000.0</v>
      </c>
      <c r="B27" s="6">
        <f t="shared" si="1"/>
        <v>20265</v>
      </c>
      <c r="C27" s="6">
        <f t="shared" si="2"/>
        <v>65590</v>
      </c>
      <c r="D27" s="6">
        <f t="shared" si="3"/>
        <v>1810.039</v>
      </c>
      <c r="E27" s="6">
        <f t="shared" si="4"/>
        <v>22075.039</v>
      </c>
      <c r="F27" s="6">
        <f t="shared" si="5"/>
        <v>43514.961</v>
      </c>
      <c r="G27" s="6">
        <f t="shared" si="6"/>
        <v>3642202.236</v>
      </c>
      <c r="H27" s="6">
        <f t="shared" si="7"/>
        <v>14102.088</v>
      </c>
      <c r="I27" s="6">
        <f t="shared" si="8"/>
        <v>29412.873</v>
      </c>
      <c r="J27" s="6">
        <f t="shared" si="9"/>
        <v>2461857.47</v>
      </c>
      <c r="K27" s="14">
        <f t="shared" si="10"/>
        <v>2477748.25</v>
      </c>
      <c r="L27" s="1">
        <v>7000.0</v>
      </c>
      <c r="M27" s="6">
        <f t="shared" si="11"/>
        <v>65590</v>
      </c>
      <c r="N27" s="6">
        <f t="shared" si="12"/>
        <v>65590</v>
      </c>
      <c r="O27" s="6">
        <f t="shared" si="13"/>
        <v>5489883</v>
      </c>
      <c r="P27" s="6">
        <f t="shared" si="14"/>
        <v>6574.4</v>
      </c>
      <c r="Q27" s="6">
        <f t="shared" si="15"/>
        <v>59015.6</v>
      </c>
      <c r="R27" s="6">
        <f t="shared" si="16"/>
        <v>4939605.72</v>
      </c>
    </row>
    <row r="28">
      <c r="A28" s="1">
        <v>7500.0</v>
      </c>
      <c r="B28" s="6">
        <f t="shared" si="1"/>
        <v>21712.5</v>
      </c>
      <c r="C28" s="6">
        <f t="shared" si="2"/>
        <v>70275</v>
      </c>
      <c r="D28" s="6">
        <f t="shared" si="3"/>
        <v>1939.3275</v>
      </c>
      <c r="E28" s="6">
        <f t="shared" si="4"/>
        <v>23651.8275</v>
      </c>
      <c r="F28" s="6">
        <f t="shared" si="5"/>
        <v>46623.1725</v>
      </c>
      <c r="G28" s="6">
        <f t="shared" si="6"/>
        <v>3902359.538</v>
      </c>
      <c r="H28" s="6">
        <f t="shared" si="7"/>
        <v>15109.38</v>
      </c>
      <c r="I28" s="6">
        <f t="shared" si="8"/>
        <v>31513.7925</v>
      </c>
      <c r="J28" s="6">
        <f t="shared" si="9"/>
        <v>2637704.432</v>
      </c>
      <c r="K28" s="14">
        <f t="shared" si="10"/>
        <v>2654730.268</v>
      </c>
      <c r="L28" s="1">
        <v>7500.0</v>
      </c>
      <c r="M28" s="6">
        <f t="shared" si="11"/>
        <v>70275</v>
      </c>
      <c r="N28" s="6">
        <f t="shared" si="12"/>
        <v>70275</v>
      </c>
      <c r="O28" s="6">
        <f t="shared" si="13"/>
        <v>5882017.5</v>
      </c>
      <c r="P28" s="6">
        <f t="shared" si="14"/>
        <v>7044</v>
      </c>
      <c r="Q28" s="6">
        <f t="shared" si="15"/>
        <v>63231</v>
      </c>
      <c r="R28" s="6">
        <f t="shared" si="16"/>
        <v>5292434.7</v>
      </c>
    </row>
    <row r="29">
      <c r="A29" s="1">
        <v>8000.0</v>
      </c>
      <c r="B29" s="6">
        <f t="shared" si="1"/>
        <v>23160</v>
      </c>
      <c r="C29" s="6">
        <f t="shared" si="2"/>
        <v>74960</v>
      </c>
      <c r="D29" s="6">
        <f t="shared" si="3"/>
        <v>2068.616</v>
      </c>
      <c r="E29" s="6">
        <f t="shared" si="4"/>
        <v>25228.616</v>
      </c>
      <c r="F29" s="6">
        <f t="shared" si="5"/>
        <v>49731.384</v>
      </c>
      <c r="G29" s="6">
        <f t="shared" si="6"/>
        <v>4162516.841</v>
      </c>
      <c r="H29" s="6">
        <f t="shared" si="7"/>
        <v>16116.672</v>
      </c>
      <c r="I29" s="6">
        <f t="shared" si="8"/>
        <v>33614.712</v>
      </c>
      <c r="J29" s="6">
        <f t="shared" si="9"/>
        <v>2813551.394</v>
      </c>
      <c r="K29" s="14">
        <f t="shared" si="10"/>
        <v>2831712.286</v>
      </c>
      <c r="L29" s="1">
        <v>8000.0</v>
      </c>
      <c r="M29" s="6">
        <f t="shared" si="11"/>
        <v>74960</v>
      </c>
      <c r="N29" s="6">
        <f t="shared" si="12"/>
        <v>74960</v>
      </c>
      <c r="O29" s="6">
        <f t="shared" si="13"/>
        <v>6274152</v>
      </c>
      <c r="P29" s="6">
        <f t="shared" si="14"/>
        <v>7513.6</v>
      </c>
      <c r="Q29" s="6">
        <f t="shared" si="15"/>
        <v>67446.4</v>
      </c>
      <c r="R29" s="6">
        <f t="shared" si="16"/>
        <v>5645263.68</v>
      </c>
    </row>
    <row r="30">
      <c r="A30" s="1">
        <v>8500.0</v>
      </c>
      <c r="B30" s="6">
        <f t="shared" si="1"/>
        <v>24607.5</v>
      </c>
      <c r="C30" s="6">
        <f t="shared" si="2"/>
        <v>79645</v>
      </c>
      <c r="D30" s="6">
        <f t="shared" si="3"/>
        <v>2197.9045</v>
      </c>
      <c r="E30" s="6">
        <f t="shared" si="4"/>
        <v>26805.4045</v>
      </c>
      <c r="F30" s="6">
        <f t="shared" si="5"/>
        <v>52839.5955</v>
      </c>
      <c r="G30" s="6">
        <f t="shared" si="6"/>
        <v>4422674.143</v>
      </c>
      <c r="H30" s="6">
        <f t="shared" si="7"/>
        <v>17123.964</v>
      </c>
      <c r="I30" s="6">
        <f t="shared" si="8"/>
        <v>35715.6315</v>
      </c>
      <c r="J30" s="6">
        <f t="shared" si="9"/>
        <v>2989398.357</v>
      </c>
      <c r="K30" s="14">
        <f t="shared" si="10"/>
        <v>3008694.303</v>
      </c>
      <c r="L30" s="1">
        <v>8500.0</v>
      </c>
      <c r="M30" s="6">
        <f t="shared" si="11"/>
        <v>79645</v>
      </c>
      <c r="N30" s="6">
        <f t="shared" si="12"/>
        <v>79645</v>
      </c>
      <c r="O30" s="6">
        <f t="shared" si="13"/>
        <v>6666286.5</v>
      </c>
      <c r="P30" s="6">
        <f t="shared" si="14"/>
        <v>7983.2</v>
      </c>
      <c r="Q30" s="6">
        <f t="shared" si="15"/>
        <v>71661.8</v>
      </c>
      <c r="R30" s="6">
        <f t="shared" si="16"/>
        <v>5998092.66</v>
      </c>
    </row>
    <row r="31">
      <c r="A31" s="1">
        <v>9000.0</v>
      </c>
      <c r="B31" s="6">
        <f t="shared" si="1"/>
        <v>26055</v>
      </c>
      <c r="C31" s="6">
        <f t="shared" si="2"/>
        <v>84330</v>
      </c>
      <c r="D31" s="6">
        <f t="shared" si="3"/>
        <v>2327.193</v>
      </c>
      <c r="E31" s="6">
        <f t="shared" si="4"/>
        <v>28382.193</v>
      </c>
      <c r="F31" s="6">
        <f t="shared" si="5"/>
        <v>55947.807</v>
      </c>
      <c r="G31" s="6">
        <f t="shared" si="6"/>
        <v>4682831.446</v>
      </c>
      <c r="H31" s="6">
        <f t="shared" si="7"/>
        <v>18131.256</v>
      </c>
      <c r="I31" s="6">
        <f t="shared" si="8"/>
        <v>37816.551</v>
      </c>
      <c r="J31" s="6">
        <f t="shared" si="9"/>
        <v>3165245.319</v>
      </c>
      <c r="K31" s="14">
        <f t="shared" si="10"/>
        <v>3185676.321</v>
      </c>
      <c r="L31" s="1">
        <v>9000.0</v>
      </c>
      <c r="M31" s="6">
        <f t="shared" si="11"/>
        <v>84330</v>
      </c>
      <c r="N31" s="6">
        <f t="shared" si="12"/>
        <v>84330</v>
      </c>
      <c r="O31" s="6">
        <f t="shared" si="13"/>
        <v>7058421</v>
      </c>
      <c r="P31" s="6">
        <f t="shared" si="14"/>
        <v>8452.8</v>
      </c>
      <c r="Q31" s="6">
        <f t="shared" si="15"/>
        <v>75877.2</v>
      </c>
      <c r="R31" s="6">
        <f t="shared" si="16"/>
        <v>6350921.64</v>
      </c>
    </row>
    <row r="32">
      <c r="A32" s="1">
        <v>9500.0</v>
      </c>
      <c r="B32" s="6">
        <f t="shared" si="1"/>
        <v>27502.5</v>
      </c>
      <c r="C32" s="6">
        <f t="shared" si="2"/>
        <v>89015</v>
      </c>
      <c r="D32" s="6">
        <f t="shared" si="3"/>
        <v>2456.4815</v>
      </c>
      <c r="E32" s="6">
        <f t="shared" si="4"/>
        <v>29958.9815</v>
      </c>
      <c r="F32" s="6">
        <f t="shared" si="5"/>
        <v>59056.0185</v>
      </c>
      <c r="G32" s="6">
        <f t="shared" si="6"/>
        <v>4942988.748</v>
      </c>
      <c r="H32" s="6">
        <f t="shared" si="7"/>
        <v>19138.548</v>
      </c>
      <c r="I32" s="6">
        <f t="shared" si="8"/>
        <v>39917.4705</v>
      </c>
      <c r="J32" s="6">
        <f t="shared" si="9"/>
        <v>3341092.281</v>
      </c>
      <c r="K32" s="14">
        <f t="shared" si="10"/>
        <v>3362658.339</v>
      </c>
      <c r="L32" s="1">
        <v>9500.0</v>
      </c>
      <c r="M32" s="6">
        <f t="shared" si="11"/>
        <v>89015</v>
      </c>
      <c r="N32" s="6">
        <f t="shared" si="12"/>
        <v>89015</v>
      </c>
      <c r="O32" s="6">
        <f t="shared" si="13"/>
        <v>7450555.5</v>
      </c>
      <c r="P32" s="6">
        <f t="shared" si="14"/>
        <v>8922.4</v>
      </c>
      <c r="Q32" s="6">
        <f t="shared" si="15"/>
        <v>80092.6</v>
      </c>
      <c r="R32" s="6">
        <f t="shared" si="16"/>
        <v>6703750.62</v>
      </c>
    </row>
    <row r="33">
      <c r="A33" s="1">
        <v>10000.0</v>
      </c>
      <c r="B33" s="6">
        <f t="shared" si="1"/>
        <v>28950</v>
      </c>
      <c r="C33" s="6">
        <f t="shared" si="2"/>
        <v>93700</v>
      </c>
      <c r="D33" s="6">
        <f t="shared" si="3"/>
        <v>2585.77</v>
      </c>
      <c r="E33" s="6">
        <f t="shared" si="4"/>
        <v>31535.77</v>
      </c>
      <c r="F33" s="6">
        <f t="shared" si="5"/>
        <v>62164.23</v>
      </c>
      <c r="G33" s="6">
        <f t="shared" si="6"/>
        <v>5203146.051</v>
      </c>
      <c r="H33" s="6">
        <f t="shared" si="7"/>
        <v>20145.84</v>
      </c>
      <c r="I33" s="6">
        <f t="shared" si="8"/>
        <v>42018.39</v>
      </c>
      <c r="J33" s="6">
        <f t="shared" si="9"/>
        <v>3516939.243</v>
      </c>
      <c r="K33" s="14">
        <f t="shared" si="10"/>
        <v>3539640.357</v>
      </c>
      <c r="L33" s="1">
        <v>10000.0</v>
      </c>
      <c r="M33" s="6">
        <f t="shared" si="11"/>
        <v>93700</v>
      </c>
      <c r="N33" s="6">
        <f t="shared" si="12"/>
        <v>93700</v>
      </c>
      <c r="O33" s="6">
        <f t="shared" si="13"/>
        <v>7842690</v>
      </c>
      <c r="P33" s="6">
        <f t="shared" si="14"/>
        <v>9392</v>
      </c>
      <c r="Q33" s="6">
        <f t="shared" si="15"/>
        <v>84308</v>
      </c>
      <c r="R33" s="6">
        <f t="shared" si="16"/>
        <v>7056579.6</v>
      </c>
    </row>
    <row r="34">
      <c r="A34" s="1">
        <v>10500.0</v>
      </c>
      <c r="B34" s="6">
        <f t="shared" si="1"/>
        <v>30397.5</v>
      </c>
      <c r="C34" s="6">
        <f t="shared" si="2"/>
        <v>98385</v>
      </c>
      <c r="D34" s="6">
        <f t="shared" si="3"/>
        <v>2715.0585</v>
      </c>
      <c r="E34" s="6">
        <f t="shared" si="4"/>
        <v>33112.5585</v>
      </c>
      <c r="F34" s="6">
        <f t="shared" si="5"/>
        <v>65272.4415</v>
      </c>
      <c r="G34" s="6">
        <f t="shared" si="6"/>
        <v>5463303.354</v>
      </c>
      <c r="H34" s="6">
        <f t="shared" si="7"/>
        <v>21153.132</v>
      </c>
      <c r="I34" s="6">
        <f t="shared" si="8"/>
        <v>44119.3095</v>
      </c>
      <c r="J34" s="6">
        <f t="shared" si="9"/>
        <v>3692786.205</v>
      </c>
      <c r="K34" s="14">
        <f t="shared" si="10"/>
        <v>3716622.375</v>
      </c>
      <c r="L34" s="1">
        <v>10500.0</v>
      </c>
      <c r="M34" s="6">
        <f t="shared" si="11"/>
        <v>98385</v>
      </c>
      <c r="N34" s="6">
        <f t="shared" si="12"/>
        <v>98385</v>
      </c>
      <c r="O34" s="6">
        <f t="shared" si="13"/>
        <v>8234824.5</v>
      </c>
      <c r="P34" s="6">
        <f t="shared" si="14"/>
        <v>9861.6</v>
      </c>
      <c r="Q34" s="6">
        <f t="shared" si="15"/>
        <v>88523.4</v>
      </c>
      <c r="R34" s="6">
        <f t="shared" si="16"/>
        <v>7409408.58</v>
      </c>
    </row>
    <row r="35">
      <c r="A35" s="1">
        <v>11000.0</v>
      </c>
      <c r="B35" s="6">
        <f t="shared" si="1"/>
        <v>31845</v>
      </c>
      <c r="C35" s="6">
        <f t="shared" si="2"/>
        <v>103070</v>
      </c>
      <c r="D35" s="6">
        <f t="shared" si="3"/>
        <v>2844.347</v>
      </c>
      <c r="E35" s="6">
        <f t="shared" si="4"/>
        <v>34689.347</v>
      </c>
      <c r="F35" s="6">
        <f t="shared" si="5"/>
        <v>68380.653</v>
      </c>
      <c r="G35" s="6">
        <f t="shared" si="6"/>
        <v>5723460.656</v>
      </c>
      <c r="H35" s="6">
        <f t="shared" si="7"/>
        <v>22160.424</v>
      </c>
      <c r="I35" s="6">
        <f t="shared" si="8"/>
        <v>46220.229</v>
      </c>
      <c r="J35" s="6">
        <f t="shared" si="9"/>
        <v>3868633.167</v>
      </c>
      <c r="K35" s="14">
        <f t="shared" si="10"/>
        <v>3893604.393</v>
      </c>
      <c r="L35" s="1">
        <v>11000.0</v>
      </c>
      <c r="M35" s="6">
        <f t="shared" si="11"/>
        <v>103070</v>
      </c>
      <c r="N35" s="6">
        <f t="shared" si="12"/>
        <v>103070</v>
      </c>
      <c r="O35" s="6">
        <f t="shared" si="13"/>
        <v>8626959</v>
      </c>
      <c r="P35" s="6">
        <f t="shared" si="14"/>
        <v>10331.2</v>
      </c>
      <c r="Q35" s="6">
        <f t="shared" si="15"/>
        <v>92738.8</v>
      </c>
      <c r="R35" s="6">
        <f t="shared" si="16"/>
        <v>7762237.56</v>
      </c>
    </row>
    <row r="38">
      <c r="A38" s="8" t="s">
        <v>32</v>
      </c>
    </row>
    <row r="39">
      <c r="A39" s="15" t="s">
        <v>17</v>
      </c>
      <c r="B39" s="15" t="s">
        <v>18</v>
      </c>
      <c r="C39" s="15" t="s">
        <v>20</v>
      </c>
      <c r="D39" s="1" t="s">
        <v>33</v>
      </c>
      <c r="E39" s="1" t="s">
        <v>34</v>
      </c>
    </row>
    <row r="40">
      <c r="A40" s="1">
        <v>1000.0</v>
      </c>
      <c r="B40" s="6">
        <f t="shared" ref="B40:B60" si="17">(A40*$B$1)</f>
        <v>2895</v>
      </c>
      <c r="C40" s="6">
        <f t="shared" ref="C40:C60" si="18">(A40*$B$7)</f>
        <v>258.577</v>
      </c>
      <c r="D40" s="6">
        <f t="shared" ref="D40:D60" si="19">(B40+C40)</f>
        <v>3153.577</v>
      </c>
      <c r="E40" s="6">
        <f t="shared" ref="E40:E60" si="20">(D40*$B$10)</f>
        <v>263954.3949</v>
      </c>
    </row>
    <row r="41">
      <c r="A41" s="1">
        <v>1500.0</v>
      </c>
      <c r="B41" s="6">
        <f t="shared" si="17"/>
        <v>4342.5</v>
      </c>
      <c r="C41" s="6">
        <f t="shared" si="18"/>
        <v>387.8655</v>
      </c>
      <c r="D41" s="6">
        <f t="shared" si="19"/>
        <v>4730.3655</v>
      </c>
      <c r="E41" s="6">
        <f t="shared" si="20"/>
        <v>395931.5924</v>
      </c>
    </row>
    <row r="42">
      <c r="A42" s="1">
        <v>2000.0</v>
      </c>
      <c r="B42" s="6">
        <f t="shared" si="17"/>
        <v>5790</v>
      </c>
      <c r="C42" s="6">
        <f t="shared" si="18"/>
        <v>517.154</v>
      </c>
      <c r="D42" s="6">
        <f t="shared" si="19"/>
        <v>6307.154</v>
      </c>
      <c r="E42" s="6">
        <f t="shared" si="20"/>
        <v>527908.7898</v>
      </c>
    </row>
    <row r="43">
      <c r="A43" s="1">
        <v>2500.0</v>
      </c>
      <c r="B43" s="6">
        <f t="shared" si="17"/>
        <v>7237.5</v>
      </c>
      <c r="C43" s="6">
        <f t="shared" si="18"/>
        <v>646.4425</v>
      </c>
      <c r="D43" s="6">
        <f t="shared" si="19"/>
        <v>7883.9425</v>
      </c>
      <c r="E43" s="6">
        <f t="shared" si="20"/>
        <v>659885.9873</v>
      </c>
    </row>
    <row r="44">
      <c r="A44" s="1">
        <v>3000.0</v>
      </c>
      <c r="B44" s="6">
        <f t="shared" si="17"/>
        <v>8685</v>
      </c>
      <c r="C44" s="6">
        <f t="shared" si="18"/>
        <v>775.731</v>
      </c>
      <c r="D44" s="6">
        <f t="shared" si="19"/>
        <v>9460.731</v>
      </c>
      <c r="E44" s="6">
        <f t="shared" si="20"/>
        <v>791863.1847</v>
      </c>
    </row>
    <row r="45">
      <c r="A45" s="1">
        <v>3500.0</v>
      </c>
      <c r="B45" s="6">
        <f t="shared" si="17"/>
        <v>10132.5</v>
      </c>
      <c r="C45" s="6">
        <f t="shared" si="18"/>
        <v>905.0195</v>
      </c>
      <c r="D45" s="6">
        <f t="shared" si="19"/>
        <v>11037.5195</v>
      </c>
      <c r="E45" s="6">
        <f t="shared" si="20"/>
        <v>923840.3822</v>
      </c>
    </row>
    <row r="46">
      <c r="A46" s="1">
        <v>4000.0</v>
      </c>
      <c r="B46" s="6">
        <f t="shared" si="17"/>
        <v>11580</v>
      </c>
      <c r="C46" s="6">
        <f t="shared" si="18"/>
        <v>1034.308</v>
      </c>
      <c r="D46" s="6">
        <f t="shared" si="19"/>
        <v>12614.308</v>
      </c>
      <c r="E46" s="6">
        <f t="shared" si="20"/>
        <v>1055817.58</v>
      </c>
    </row>
    <row r="47">
      <c r="A47" s="1">
        <v>4500.0</v>
      </c>
      <c r="B47" s="6">
        <f t="shared" si="17"/>
        <v>13027.5</v>
      </c>
      <c r="C47" s="6">
        <f t="shared" si="18"/>
        <v>1163.5965</v>
      </c>
      <c r="D47" s="6">
        <f t="shared" si="19"/>
        <v>14191.0965</v>
      </c>
      <c r="E47" s="6">
        <f t="shared" si="20"/>
        <v>1187794.777</v>
      </c>
    </row>
    <row r="48">
      <c r="A48" s="1">
        <v>5000.0</v>
      </c>
      <c r="B48" s="6">
        <f t="shared" si="17"/>
        <v>14475</v>
      </c>
      <c r="C48" s="6">
        <f t="shared" si="18"/>
        <v>1292.885</v>
      </c>
      <c r="D48" s="6">
        <f t="shared" si="19"/>
        <v>15767.885</v>
      </c>
      <c r="E48" s="6">
        <f t="shared" si="20"/>
        <v>1319771.975</v>
      </c>
    </row>
    <row r="49">
      <c r="A49" s="1">
        <v>5500.0</v>
      </c>
      <c r="B49" s="6">
        <f t="shared" si="17"/>
        <v>15922.5</v>
      </c>
      <c r="C49" s="6">
        <f t="shared" si="18"/>
        <v>1422.1735</v>
      </c>
      <c r="D49" s="6">
        <f t="shared" si="19"/>
        <v>17344.6735</v>
      </c>
      <c r="E49" s="6">
        <f t="shared" si="20"/>
        <v>1451749.172</v>
      </c>
    </row>
    <row r="50">
      <c r="A50" s="1">
        <v>6000.0</v>
      </c>
      <c r="B50" s="6">
        <f t="shared" si="17"/>
        <v>17370</v>
      </c>
      <c r="C50" s="6">
        <f t="shared" si="18"/>
        <v>1551.462</v>
      </c>
      <c r="D50" s="6">
        <f t="shared" si="19"/>
        <v>18921.462</v>
      </c>
      <c r="E50" s="6">
        <f t="shared" si="20"/>
        <v>1583726.369</v>
      </c>
    </row>
    <row r="51">
      <c r="A51" s="1">
        <v>6500.0</v>
      </c>
      <c r="B51" s="6">
        <f t="shared" si="17"/>
        <v>18817.5</v>
      </c>
      <c r="C51" s="6">
        <f t="shared" si="18"/>
        <v>1680.7505</v>
      </c>
      <c r="D51" s="6">
        <f t="shared" si="19"/>
        <v>20498.2505</v>
      </c>
      <c r="E51" s="6">
        <f t="shared" si="20"/>
        <v>1715703.567</v>
      </c>
    </row>
    <row r="52">
      <c r="A52" s="1">
        <v>7000.0</v>
      </c>
      <c r="B52" s="6">
        <f t="shared" si="17"/>
        <v>20265</v>
      </c>
      <c r="C52" s="6">
        <f t="shared" si="18"/>
        <v>1810.039</v>
      </c>
      <c r="D52" s="6">
        <f t="shared" si="19"/>
        <v>22075.039</v>
      </c>
      <c r="E52" s="6">
        <f t="shared" si="20"/>
        <v>1847680.764</v>
      </c>
    </row>
    <row r="53">
      <c r="A53" s="1">
        <v>7500.0</v>
      </c>
      <c r="B53" s="6">
        <f t="shared" si="17"/>
        <v>21712.5</v>
      </c>
      <c r="C53" s="6">
        <f t="shared" si="18"/>
        <v>1939.3275</v>
      </c>
      <c r="D53" s="6">
        <f t="shared" si="19"/>
        <v>23651.8275</v>
      </c>
      <c r="E53" s="6">
        <f t="shared" si="20"/>
        <v>1979657.962</v>
      </c>
    </row>
    <row r="54">
      <c r="A54" s="1">
        <v>8000.0</v>
      </c>
      <c r="B54" s="6">
        <f t="shared" si="17"/>
        <v>23160</v>
      </c>
      <c r="C54" s="6">
        <f t="shared" si="18"/>
        <v>2068.616</v>
      </c>
      <c r="D54" s="6">
        <f t="shared" si="19"/>
        <v>25228.616</v>
      </c>
      <c r="E54" s="6">
        <f t="shared" si="20"/>
        <v>2111635.159</v>
      </c>
    </row>
    <row r="55">
      <c r="A55" s="1">
        <v>8500.0</v>
      </c>
      <c r="B55" s="6">
        <f t="shared" si="17"/>
        <v>24607.5</v>
      </c>
      <c r="C55" s="6">
        <f t="shared" si="18"/>
        <v>2197.9045</v>
      </c>
      <c r="D55" s="6">
        <f t="shared" si="19"/>
        <v>26805.4045</v>
      </c>
      <c r="E55" s="6">
        <f t="shared" si="20"/>
        <v>2243612.357</v>
      </c>
    </row>
    <row r="56">
      <c r="A56" s="1">
        <v>9000.0</v>
      </c>
      <c r="B56" s="6">
        <f t="shared" si="17"/>
        <v>26055</v>
      </c>
      <c r="C56" s="6">
        <f t="shared" si="18"/>
        <v>2327.193</v>
      </c>
      <c r="D56" s="6">
        <f t="shared" si="19"/>
        <v>28382.193</v>
      </c>
      <c r="E56" s="6">
        <f t="shared" si="20"/>
        <v>2375589.554</v>
      </c>
    </row>
    <row r="57">
      <c r="A57" s="1">
        <v>9500.0</v>
      </c>
      <c r="B57" s="6">
        <f t="shared" si="17"/>
        <v>27502.5</v>
      </c>
      <c r="C57" s="6">
        <f t="shared" si="18"/>
        <v>2456.4815</v>
      </c>
      <c r="D57" s="6">
        <f t="shared" si="19"/>
        <v>29958.9815</v>
      </c>
      <c r="E57" s="6">
        <f t="shared" si="20"/>
        <v>2507566.752</v>
      </c>
    </row>
    <row r="58">
      <c r="A58" s="1">
        <v>10000.0</v>
      </c>
      <c r="B58" s="6">
        <f t="shared" si="17"/>
        <v>28950</v>
      </c>
      <c r="C58" s="6">
        <f t="shared" si="18"/>
        <v>2585.77</v>
      </c>
      <c r="D58" s="6">
        <f t="shared" si="19"/>
        <v>31535.77</v>
      </c>
      <c r="E58" s="6">
        <f t="shared" si="20"/>
        <v>2639543.949</v>
      </c>
    </row>
    <row r="59">
      <c r="A59" s="1">
        <v>10500.0</v>
      </c>
      <c r="B59" s="6">
        <f t="shared" si="17"/>
        <v>30397.5</v>
      </c>
      <c r="C59" s="6">
        <f t="shared" si="18"/>
        <v>2715.0585</v>
      </c>
      <c r="D59" s="6">
        <f t="shared" si="19"/>
        <v>33112.5585</v>
      </c>
      <c r="E59" s="6">
        <f t="shared" si="20"/>
        <v>2771521.146</v>
      </c>
    </row>
    <row r="60">
      <c r="A60" s="1">
        <v>11000.0</v>
      </c>
      <c r="B60" s="6">
        <f t="shared" si="17"/>
        <v>31845</v>
      </c>
      <c r="C60" s="6">
        <f t="shared" si="18"/>
        <v>2844.347</v>
      </c>
      <c r="D60" s="6">
        <f t="shared" si="19"/>
        <v>34689.347</v>
      </c>
      <c r="E60" s="6">
        <f t="shared" si="20"/>
        <v>2903498.344</v>
      </c>
    </row>
  </sheetData>
  <drawing r:id="rId1"/>
</worksheet>
</file>